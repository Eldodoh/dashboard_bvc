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dashboard_bvc\data\"/>
    </mc:Choice>
  </mc:AlternateContent>
  <xr:revisionPtr revIDLastSave="0" documentId="13_ncr:1_{CD6C68B5-B419-42F1-8C5B-26BE7B08565C}" xr6:coauthVersionLast="47" xr6:coauthVersionMax="47" xr10:uidLastSave="{00000000-0000-0000-0000-000000000000}"/>
  <bookViews>
    <workbookView xWindow="-110" yWindow="-110" windowWidth="19420" windowHeight="11020" xr2:uid="{6FFBA899-B9AC-4BE2-A10B-33B6B0F2B0F4}"/>
  </bookViews>
  <sheets>
    <sheet name="Trims" sheetId="1" r:id="rId1"/>
    <sheet name="Semestriel" sheetId="3" r:id="rId2"/>
    <sheet name="Annuel" sheetId="4" r:id="rId3"/>
    <sheet name="Base_Finale" sheetId="5" r:id="rId4"/>
    <sheet name="TCD" sheetId="6" r:id="rId5"/>
  </sheets>
  <definedNames>
    <definedName name="DonnéesExternes_1" localSheetId="3" hidden="1">Base_Finale!$A$1:$G$2658</definedName>
  </definedNames>
  <calcPr calcId="181029"/>
  <pivotCaches>
    <pivotCache cacheId="0" r:id="rId6"/>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T124" i="1" l="1"/>
  <c r="D123" i="1"/>
  <c r="E123" i="1"/>
  <c r="F123" i="1"/>
  <c r="G123" i="1"/>
  <c r="H123" i="1"/>
  <c r="I123" i="1"/>
  <c r="J123" i="1"/>
  <c r="K123" i="1"/>
  <c r="L123" i="1"/>
  <c r="M123" i="1"/>
  <c r="N123" i="1"/>
  <c r="O123" i="1"/>
  <c r="P123" i="1"/>
  <c r="Q123" i="1"/>
  <c r="R123" i="1"/>
  <c r="S123" i="1"/>
  <c r="T123" i="1"/>
  <c r="D48" i="4"/>
  <c r="S47" i="1"/>
  <c r="Q47" i="1"/>
  <c r="O47" i="1"/>
  <c r="M47" i="1"/>
  <c r="G47" i="1"/>
  <c r="I47" i="1"/>
  <c r="K47" i="1" s="1"/>
  <c r="E47" i="1"/>
  <c r="T5" i="1"/>
  <c r="P5" i="1"/>
  <c r="Q5" i="1" s="1"/>
  <c r="N5" i="1"/>
  <c r="L5" i="1"/>
  <c r="M5" i="1" s="1"/>
  <c r="H5" i="1"/>
  <c r="I5" i="1" s="1"/>
  <c r="J5" i="1" s="1"/>
  <c r="G5" i="1"/>
  <c r="F5" i="1"/>
  <c r="E5" i="1"/>
  <c r="S16" i="1" l="1"/>
  <c r="K14" i="3" s="1"/>
  <c r="J9" i="3"/>
  <c r="K9" i="3"/>
  <c r="K94" i="3"/>
  <c r="I94" i="4" s="1"/>
  <c r="K93" i="3"/>
  <c r="K3" i="3"/>
  <c r="K95" i="3"/>
  <c r="K86" i="3"/>
  <c r="K85" i="3"/>
  <c r="K8" i="3"/>
  <c r="K80" i="3"/>
  <c r="K79" i="3"/>
  <c r="K7" i="3"/>
  <c r="K97" i="3"/>
  <c r="K34" i="3"/>
  <c r="K4" i="3"/>
  <c r="K19" i="3"/>
  <c r="K18" i="3"/>
  <c r="K37" i="3"/>
  <c r="K36" i="3"/>
  <c r="K40" i="3"/>
  <c r="K39" i="3"/>
  <c r="K32" i="3"/>
  <c r="K31" i="3"/>
  <c r="K28" i="3"/>
  <c r="K27" i="3"/>
  <c r="K69" i="3"/>
  <c r="K68" i="3"/>
  <c r="K15" i="3"/>
  <c r="K12" i="3"/>
  <c r="K57" i="3"/>
  <c r="K107" i="3"/>
  <c r="K106" i="3"/>
  <c r="K51" i="3"/>
  <c r="K50" i="3"/>
  <c r="K112" i="3"/>
  <c r="K108" i="3"/>
  <c r="I108" i="4" s="1"/>
  <c r="K105" i="3"/>
  <c r="K102" i="3"/>
  <c r="K98" i="3"/>
  <c r="I98" i="4" s="1"/>
  <c r="K96" i="3"/>
  <c r="I96" i="4" s="1"/>
  <c r="K91" i="3"/>
  <c r="K87" i="3"/>
  <c r="I87" i="4" s="1"/>
  <c r="K84" i="3"/>
  <c r="K81" i="3"/>
  <c r="I81" i="4" s="1"/>
  <c r="K77" i="3"/>
  <c r="K74" i="3"/>
  <c r="K70" i="3"/>
  <c r="I70" i="4" s="1"/>
  <c r="K66" i="3"/>
  <c r="K62" i="3"/>
  <c r="K58" i="3"/>
  <c r="I58" i="4" s="1"/>
  <c r="K56" i="3"/>
  <c r="K52" i="3"/>
  <c r="I52" i="4" s="1"/>
  <c r="K48" i="3"/>
  <c r="K44" i="3"/>
  <c r="K41" i="3"/>
  <c r="I41" i="4" s="1"/>
  <c r="K38" i="3"/>
  <c r="I38" i="4" s="1"/>
  <c r="K35" i="3"/>
  <c r="I35" i="4" s="1"/>
  <c r="K33" i="3"/>
  <c r="I33" i="4" s="1"/>
  <c r="K29" i="3"/>
  <c r="I29" i="4" s="1"/>
  <c r="K26" i="3"/>
  <c r="I26" i="4" s="1"/>
  <c r="K23" i="3"/>
  <c r="K20" i="3"/>
  <c r="I20" i="4" s="1"/>
  <c r="J112" i="3"/>
  <c r="J108" i="3"/>
  <c r="J105" i="3"/>
  <c r="J102" i="3"/>
  <c r="J98" i="3"/>
  <c r="J96" i="3"/>
  <c r="J94" i="3"/>
  <c r="J91" i="3"/>
  <c r="J87" i="3"/>
  <c r="J84" i="3"/>
  <c r="J81" i="3"/>
  <c r="J77" i="3"/>
  <c r="J74" i="3"/>
  <c r="J70" i="3"/>
  <c r="J66" i="3"/>
  <c r="J62" i="3"/>
  <c r="J58" i="3"/>
  <c r="J56" i="3"/>
  <c r="J52" i="3"/>
  <c r="J48" i="3"/>
  <c r="J44" i="3"/>
  <c r="J41" i="3"/>
  <c r="J38" i="3"/>
  <c r="J35" i="3"/>
  <c r="J33" i="3"/>
  <c r="J29" i="3"/>
  <c r="J26" i="3"/>
  <c r="J23" i="3"/>
  <c r="J20" i="3"/>
  <c r="I112" i="3"/>
  <c r="I108" i="3"/>
  <c r="I105" i="3"/>
  <c r="I102" i="3"/>
  <c r="I98" i="3"/>
  <c r="I96" i="3"/>
  <c r="I94" i="3"/>
  <c r="I91" i="3"/>
  <c r="I87" i="3"/>
  <c r="I84" i="3"/>
  <c r="I81" i="3"/>
  <c r="I77" i="3"/>
  <c r="I74" i="3"/>
  <c r="I66" i="3"/>
  <c r="I62" i="3"/>
  <c r="I58" i="3"/>
  <c r="I56" i="3"/>
  <c r="I52" i="3"/>
  <c r="I48" i="3"/>
  <c r="I41" i="3"/>
  <c r="I38" i="3"/>
  <c r="I35" i="3"/>
  <c r="I33" i="3"/>
  <c r="I29" i="3"/>
  <c r="I26" i="3"/>
  <c r="I23" i="3"/>
  <c r="I20" i="3"/>
  <c r="H112" i="3"/>
  <c r="H108" i="3"/>
  <c r="H105" i="3"/>
  <c r="H102" i="3"/>
  <c r="H98" i="3"/>
  <c r="H96" i="3"/>
  <c r="H94" i="3"/>
  <c r="H91" i="3"/>
  <c r="H87" i="3"/>
  <c r="H84" i="3"/>
  <c r="H81" i="3"/>
  <c r="H77" i="3"/>
  <c r="H74" i="3"/>
  <c r="H66" i="3"/>
  <c r="H62" i="3"/>
  <c r="H58" i="3"/>
  <c r="H56" i="3"/>
  <c r="H52" i="3"/>
  <c r="H48" i="3"/>
  <c r="H41" i="3"/>
  <c r="H38" i="3"/>
  <c r="H35" i="3"/>
  <c r="H33" i="3"/>
  <c r="H29" i="3"/>
  <c r="H26" i="3"/>
  <c r="H23" i="3"/>
  <c r="H20" i="3"/>
  <c r="G112" i="3"/>
  <c r="G108" i="3"/>
  <c r="G102" i="3"/>
  <c r="G98" i="3"/>
  <c r="G96" i="3"/>
  <c r="G94" i="3"/>
  <c r="G91" i="3"/>
  <c r="G87" i="3"/>
  <c r="G84" i="3"/>
  <c r="G81" i="3"/>
  <c r="G77" i="3"/>
  <c r="G74" i="3"/>
  <c r="G66" i="3"/>
  <c r="G62" i="3"/>
  <c r="G58" i="3"/>
  <c r="G56" i="3"/>
  <c r="G52" i="3"/>
  <c r="G48" i="3"/>
  <c r="G41" i="3"/>
  <c r="G38" i="3"/>
  <c r="G35" i="3"/>
  <c r="G33" i="3"/>
  <c r="G29" i="3"/>
  <c r="G26" i="3"/>
  <c r="G23" i="3"/>
  <c r="G20" i="3"/>
  <c r="F112" i="3"/>
  <c r="F108" i="3"/>
  <c r="F102" i="3"/>
  <c r="F98" i="3"/>
  <c r="F96" i="3"/>
  <c r="F94" i="3"/>
  <c r="F91" i="3"/>
  <c r="F87" i="3"/>
  <c r="F84" i="3"/>
  <c r="F81" i="3"/>
  <c r="F77" i="3"/>
  <c r="F74" i="3"/>
  <c r="F66" i="3"/>
  <c r="F62" i="3"/>
  <c r="F58" i="3"/>
  <c r="F56" i="3"/>
  <c r="F52" i="3"/>
  <c r="F48" i="3"/>
  <c r="F41" i="3"/>
  <c r="F38" i="3"/>
  <c r="F35" i="3"/>
  <c r="F33" i="3"/>
  <c r="F29" i="3"/>
  <c r="F26" i="3"/>
  <c r="F23" i="3"/>
  <c r="F20" i="3"/>
  <c r="E112" i="3"/>
  <c r="E108" i="3"/>
  <c r="E98" i="3"/>
  <c r="E96" i="3"/>
  <c r="E94" i="3"/>
  <c r="E91" i="3"/>
  <c r="E87" i="3"/>
  <c r="E84" i="3"/>
  <c r="E81" i="3"/>
  <c r="E77" i="3"/>
  <c r="E74" i="3"/>
  <c r="E66" i="3"/>
  <c r="E62" i="3"/>
  <c r="E58" i="3"/>
  <c r="E56" i="3"/>
  <c r="E52" i="3"/>
  <c r="E41" i="3"/>
  <c r="E38" i="3"/>
  <c r="E35" i="3"/>
  <c r="E33" i="3"/>
  <c r="E29" i="3"/>
  <c r="E26" i="3"/>
  <c r="E23" i="3"/>
  <c r="E20" i="3"/>
  <c r="D112" i="3"/>
  <c r="D108" i="3"/>
  <c r="D98" i="3"/>
  <c r="D96" i="3"/>
  <c r="D94" i="3"/>
  <c r="D91" i="3"/>
  <c r="D87" i="3"/>
  <c r="D84" i="3"/>
  <c r="D81" i="3"/>
  <c r="D77" i="3"/>
  <c r="D74" i="3"/>
  <c r="D66" i="3"/>
  <c r="D62" i="3"/>
  <c r="D58" i="3"/>
  <c r="D56" i="3"/>
  <c r="D52" i="3"/>
  <c r="D48" i="3"/>
  <c r="D41" i="3"/>
  <c r="D38" i="3"/>
  <c r="D35" i="3"/>
  <c r="D33" i="3"/>
  <c r="D29" i="3"/>
  <c r="D26" i="3"/>
  <c r="D23" i="3"/>
  <c r="D20" i="3"/>
  <c r="G112" i="4"/>
  <c r="G108" i="4"/>
  <c r="G105" i="4"/>
  <c r="G102" i="4"/>
  <c r="G98" i="4"/>
  <c r="G96" i="4"/>
  <c r="G94" i="4"/>
  <c r="G91" i="4"/>
  <c r="G87" i="4"/>
  <c r="G84" i="4"/>
  <c r="G81" i="4"/>
  <c r="G77" i="4"/>
  <c r="G74" i="4"/>
  <c r="G66" i="4"/>
  <c r="G62" i="4"/>
  <c r="G58" i="4"/>
  <c r="G56" i="4"/>
  <c r="G52" i="4"/>
  <c r="G48" i="4"/>
  <c r="G41" i="4"/>
  <c r="G38" i="4"/>
  <c r="G35" i="4"/>
  <c r="G33" i="4"/>
  <c r="G29" i="4"/>
  <c r="G26" i="4"/>
  <c r="G23" i="4"/>
  <c r="G20" i="4"/>
  <c r="E112" i="4"/>
  <c r="E108" i="4"/>
  <c r="E98" i="4"/>
  <c r="E96" i="4"/>
  <c r="E94" i="4"/>
  <c r="E91" i="4"/>
  <c r="E87" i="4"/>
  <c r="E84" i="4"/>
  <c r="E81" i="4"/>
  <c r="E77" i="4"/>
  <c r="E74" i="4"/>
  <c r="E70" i="4"/>
  <c r="E66" i="4"/>
  <c r="E62" i="4"/>
  <c r="E58" i="4"/>
  <c r="E56" i="4"/>
  <c r="E52" i="4"/>
  <c r="E48" i="4"/>
  <c r="E41" i="4"/>
  <c r="E38" i="4"/>
  <c r="E35" i="4"/>
  <c r="E33" i="4"/>
  <c r="E29" i="4"/>
  <c r="E26" i="4"/>
  <c r="E23" i="4"/>
  <c r="E20" i="4"/>
  <c r="D112" i="4"/>
  <c r="D108" i="4"/>
  <c r="D98" i="4"/>
  <c r="D96" i="4"/>
  <c r="D94" i="4"/>
  <c r="D91" i="4"/>
  <c r="D87" i="4"/>
  <c r="D84" i="4"/>
  <c r="D81" i="4"/>
  <c r="D77" i="4"/>
  <c r="D74" i="4"/>
  <c r="D66" i="4"/>
  <c r="D62" i="4"/>
  <c r="D58" i="4"/>
  <c r="D56" i="4"/>
  <c r="D52" i="4"/>
  <c r="D41" i="4"/>
  <c r="D38" i="4"/>
  <c r="D35" i="4"/>
  <c r="D33" i="4"/>
  <c r="D29" i="4"/>
  <c r="D26" i="4"/>
  <c r="D23" i="4"/>
  <c r="D20" i="4"/>
  <c r="I23" i="4"/>
  <c r="I48" i="4"/>
  <c r="I56" i="4"/>
  <c r="I62" i="4"/>
  <c r="I66" i="4"/>
  <c r="I74" i="4"/>
  <c r="I77" i="4"/>
  <c r="I84" i="4"/>
  <c r="I91" i="4"/>
  <c r="I102" i="4"/>
  <c r="I105" i="4"/>
  <c r="I112" i="4"/>
  <c r="K111" i="3"/>
  <c r="K110" i="3"/>
  <c r="K61" i="3"/>
  <c r="K60" i="3"/>
  <c r="K24" i="3"/>
  <c r="K25" i="3"/>
  <c r="K22" i="3"/>
  <c r="K21" i="3"/>
  <c r="K76" i="3"/>
  <c r="K65" i="3"/>
  <c r="K64" i="3"/>
  <c r="K55" i="3"/>
  <c r="K54" i="3"/>
  <c r="K6" i="3"/>
  <c r="H103" i="3"/>
  <c r="H104" i="3"/>
  <c r="K101" i="3"/>
  <c r="K103" i="3"/>
  <c r="K104" i="3"/>
  <c r="K100" i="3"/>
  <c r="K90" i="3"/>
  <c r="K89" i="3"/>
  <c r="K83" i="3"/>
  <c r="K82" i="3"/>
  <c r="K73" i="3"/>
  <c r="K72" i="3"/>
  <c r="K47" i="3"/>
  <c r="K46" i="3"/>
  <c r="K11" i="3"/>
  <c r="K10" i="3"/>
  <c r="J111" i="3"/>
  <c r="J4" i="3"/>
  <c r="J6" i="3"/>
  <c r="J7" i="3"/>
  <c r="J8" i="3"/>
  <c r="J10" i="3"/>
  <c r="J11" i="3"/>
  <c r="J12" i="3"/>
  <c r="J14" i="3"/>
  <c r="J15" i="3"/>
  <c r="J16" i="3"/>
  <c r="J18" i="3"/>
  <c r="I18" i="4" s="1"/>
  <c r="J19" i="3"/>
  <c r="J21" i="3"/>
  <c r="J22" i="3"/>
  <c r="J24" i="3"/>
  <c r="J25" i="3"/>
  <c r="J27" i="3"/>
  <c r="J28" i="3"/>
  <c r="J31" i="3"/>
  <c r="J32" i="3"/>
  <c r="J34" i="3"/>
  <c r="J36" i="3"/>
  <c r="J37" i="3"/>
  <c r="J39" i="3"/>
  <c r="J40" i="3"/>
  <c r="J42" i="3"/>
  <c r="J43" i="3"/>
  <c r="J46" i="3"/>
  <c r="J47" i="3"/>
  <c r="J50" i="3"/>
  <c r="J51" i="3"/>
  <c r="J54" i="3"/>
  <c r="J55" i="3"/>
  <c r="J57" i="3"/>
  <c r="J60" i="3"/>
  <c r="J61" i="3"/>
  <c r="J64" i="3"/>
  <c r="J65" i="3"/>
  <c r="J68" i="3"/>
  <c r="J69" i="3"/>
  <c r="J72" i="3"/>
  <c r="J73" i="3"/>
  <c r="J76" i="3"/>
  <c r="J79" i="3"/>
  <c r="J80" i="3"/>
  <c r="J82" i="3"/>
  <c r="J83" i="3"/>
  <c r="J85" i="3"/>
  <c r="J86" i="3"/>
  <c r="J89" i="3"/>
  <c r="J90" i="3"/>
  <c r="J93" i="3"/>
  <c r="J95" i="3"/>
  <c r="J97" i="3"/>
  <c r="J100" i="3"/>
  <c r="J101" i="3"/>
  <c r="J106" i="3"/>
  <c r="J107" i="3"/>
  <c r="J110" i="3"/>
  <c r="J3" i="3"/>
  <c r="I4" i="3"/>
  <c r="I7" i="3"/>
  <c r="I9" i="3"/>
  <c r="I10" i="3"/>
  <c r="I11" i="3"/>
  <c r="I12" i="3"/>
  <c r="I14" i="3"/>
  <c r="I15" i="3"/>
  <c r="I18" i="3"/>
  <c r="I19" i="3"/>
  <c r="I21" i="3"/>
  <c r="I22" i="3"/>
  <c r="I24" i="3"/>
  <c r="I25" i="3"/>
  <c r="I27" i="3"/>
  <c r="I28" i="3"/>
  <c r="I31" i="3"/>
  <c r="I32" i="3"/>
  <c r="I34" i="3"/>
  <c r="I36" i="3"/>
  <c r="I39" i="3"/>
  <c r="I40" i="3"/>
  <c r="I46" i="3"/>
  <c r="I47" i="3"/>
  <c r="I50" i="3"/>
  <c r="I51" i="3"/>
  <c r="I54" i="3"/>
  <c r="I55" i="3"/>
  <c r="I57" i="3"/>
  <c r="I60" i="3"/>
  <c r="I61" i="3"/>
  <c r="I64" i="3"/>
  <c r="I65" i="3"/>
  <c r="I68" i="3"/>
  <c r="I69" i="3"/>
  <c r="I72" i="3"/>
  <c r="I73" i="3"/>
  <c r="I76" i="3"/>
  <c r="I79" i="3"/>
  <c r="I80" i="3"/>
  <c r="I82" i="3"/>
  <c r="I83" i="3"/>
  <c r="I85" i="3"/>
  <c r="I86" i="3"/>
  <c r="I89" i="3"/>
  <c r="I90" i="3"/>
  <c r="I93" i="3"/>
  <c r="I95" i="3"/>
  <c r="I97" i="3"/>
  <c r="I100" i="3"/>
  <c r="I101" i="3"/>
  <c r="I103" i="3"/>
  <c r="I104" i="3"/>
  <c r="I106" i="3"/>
  <c r="I107" i="3"/>
  <c r="I110" i="3"/>
  <c r="I111" i="3"/>
  <c r="I3" i="3"/>
  <c r="H4" i="3"/>
  <c r="H6" i="3"/>
  <c r="H7" i="3"/>
  <c r="H8" i="3"/>
  <c r="H9" i="3"/>
  <c r="H10" i="3"/>
  <c r="H11" i="3"/>
  <c r="H12" i="3"/>
  <c r="H14" i="3"/>
  <c r="H15" i="3"/>
  <c r="H18" i="3"/>
  <c r="H19" i="3"/>
  <c r="H21" i="3"/>
  <c r="H22" i="3"/>
  <c r="H24" i="3"/>
  <c r="H25" i="3"/>
  <c r="H27" i="3"/>
  <c r="H28" i="3"/>
  <c r="H31" i="3"/>
  <c r="H32" i="3"/>
  <c r="H34" i="3"/>
  <c r="H36" i="3"/>
  <c r="H37" i="3"/>
  <c r="H39" i="3"/>
  <c r="H40" i="3"/>
  <c r="H46" i="3"/>
  <c r="H47" i="3"/>
  <c r="H50" i="3"/>
  <c r="H51" i="3"/>
  <c r="H54" i="3"/>
  <c r="H55" i="3"/>
  <c r="H57" i="3"/>
  <c r="H60" i="3"/>
  <c r="H61" i="3"/>
  <c r="H64" i="3"/>
  <c r="H65" i="3"/>
  <c r="H68" i="3"/>
  <c r="H69" i="3"/>
  <c r="H72" i="3"/>
  <c r="H73" i="3"/>
  <c r="H76" i="3"/>
  <c r="H79" i="3"/>
  <c r="H80" i="3"/>
  <c r="H82" i="3"/>
  <c r="H83" i="3"/>
  <c r="H85" i="3"/>
  <c r="H86" i="3"/>
  <c r="H89" i="3"/>
  <c r="H90" i="3"/>
  <c r="H93" i="3"/>
  <c r="H95" i="3"/>
  <c r="H97" i="3"/>
  <c r="H100" i="3"/>
  <c r="H101" i="3"/>
  <c r="H106" i="3"/>
  <c r="H107" i="3"/>
  <c r="H110" i="3"/>
  <c r="H111" i="3"/>
  <c r="H3" i="3"/>
  <c r="G4" i="3"/>
  <c r="G7" i="3"/>
  <c r="G10" i="3"/>
  <c r="G11" i="3"/>
  <c r="G14" i="3"/>
  <c r="G15" i="3"/>
  <c r="G18" i="3"/>
  <c r="G19" i="3"/>
  <c r="G21" i="3"/>
  <c r="G22" i="3"/>
  <c r="G24" i="3"/>
  <c r="G25" i="3"/>
  <c r="G27" i="3"/>
  <c r="G28" i="3"/>
  <c r="G31" i="3"/>
  <c r="G32" i="3"/>
  <c r="G34" i="3"/>
  <c r="G36" i="3"/>
  <c r="G39" i="3"/>
  <c r="G40" i="3"/>
  <c r="G46" i="3"/>
  <c r="G47" i="3"/>
  <c r="G50" i="3"/>
  <c r="G51" i="3"/>
  <c r="G54" i="3"/>
  <c r="G55" i="3"/>
  <c r="G57" i="3"/>
  <c r="G60" i="3"/>
  <c r="G61" i="3"/>
  <c r="G64" i="3"/>
  <c r="G65" i="3"/>
  <c r="G68" i="3"/>
  <c r="E68" i="4" s="1"/>
  <c r="G69" i="3"/>
  <c r="E69" i="4" s="1"/>
  <c r="G70" i="3"/>
  <c r="G72" i="3"/>
  <c r="G73" i="3"/>
  <c r="G76" i="3"/>
  <c r="G79" i="3"/>
  <c r="G80" i="3"/>
  <c r="G82" i="3"/>
  <c r="G83" i="3"/>
  <c r="G85" i="3"/>
  <c r="G86" i="3"/>
  <c r="G89" i="3"/>
  <c r="G90" i="3"/>
  <c r="G93" i="3"/>
  <c r="G95" i="3"/>
  <c r="G97" i="3"/>
  <c r="G100" i="3"/>
  <c r="G101" i="3"/>
  <c r="G106" i="3"/>
  <c r="G110" i="3"/>
  <c r="G111" i="3"/>
  <c r="F4" i="3"/>
  <c r="F6" i="3"/>
  <c r="F7" i="3"/>
  <c r="F8" i="3"/>
  <c r="F9" i="3"/>
  <c r="F10" i="3"/>
  <c r="F11" i="3"/>
  <c r="F12" i="3"/>
  <c r="F14" i="3"/>
  <c r="F15" i="3"/>
  <c r="F18" i="3"/>
  <c r="F19" i="3"/>
  <c r="F21" i="3"/>
  <c r="F22" i="3"/>
  <c r="F24" i="3"/>
  <c r="F25" i="3"/>
  <c r="F27" i="3"/>
  <c r="F28" i="3"/>
  <c r="F31" i="3"/>
  <c r="F32" i="3"/>
  <c r="F34" i="3"/>
  <c r="F36" i="3"/>
  <c r="F37" i="3"/>
  <c r="F39" i="3"/>
  <c r="F40" i="3"/>
  <c r="F46" i="3"/>
  <c r="F47" i="3"/>
  <c r="F50" i="3"/>
  <c r="F51" i="3"/>
  <c r="F54" i="3"/>
  <c r="F55" i="3"/>
  <c r="F57" i="3"/>
  <c r="F60" i="3"/>
  <c r="F61" i="3"/>
  <c r="F64" i="3"/>
  <c r="F65" i="3"/>
  <c r="F72" i="3"/>
  <c r="F73" i="3"/>
  <c r="F76" i="3"/>
  <c r="F79" i="3"/>
  <c r="F80" i="3"/>
  <c r="F82" i="3"/>
  <c r="F83" i="3"/>
  <c r="F85" i="3"/>
  <c r="F86" i="3"/>
  <c r="F89" i="3"/>
  <c r="F90" i="3"/>
  <c r="F93" i="3"/>
  <c r="F95" i="3"/>
  <c r="F97" i="3"/>
  <c r="F100" i="3"/>
  <c r="F101" i="3"/>
  <c r="F106" i="3"/>
  <c r="F107" i="3"/>
  <c r="F110" i="3"/>
  <c r="F111" i="3"/>
  <c r="F3" i="3"/>
  <c r="E4" i="3"/>
  <c r="E7" i="3"/>
  <c r="E9" i="3"/>
  <c r="E10" i="3"/>
  <c r="E11" i="3"/>
  <c r="E12" i="3"/>
  <c r="E14" i="3"/>
  <c r="E15" i="3"/>
  <c r="E18" i="3"/>
  <c r="E19" i="3"/>
  <c r="E21" i="3"/>
  <c r="E22" i="3"/>
  <c r="E24" i="3"/>
  <c r="E25" i="3"/>
  <c r="E27" i="3"/>
  <c r="E28" i="3"/>
  <c r="E31" i="3"/>
  <c r="E32" i="3"/>
  <c r="E34" i="3"/>
  <c r="E36" i="3"/>
  <c r="E37" i="3"/>
  <c r="E39" i="3"/>
  <c r="E40" i="3"/>
  <c r="E47" i="3"/>
  <c r="E50" i="3"/>
  <c r="E51" i="3"/>
  <c r="E54" i="3"/>
  <c r="E55" i="3"/>
  <c r="E57" i="3"/>
  <c r="E60" i="3"/>
  <c r="E61" i="3"/>
  <c r="E64" i="3"/>
  <c r="E65" i="3"/>
  <c r="E72" i="3"/>
  <c r="E73" i="3"/>
  <c r="E76" i="3"/>
  <c r="E79" i="3"/>
  <c r="E80" i="3"/>
  <c r="E82" i="3"/>
  <c r="E83" i="3"/>
  <c r="E85" i="3"/>
  <c r="E86" i="3"/>
  <c r="E89" i="3"/>
  <c r="E90" i="3"/>
  <c r="E93" i="3"/>
  <c r="E95" i="3"/>
  <c r="E97" i="3"/>
  <c r="E100" i="3"/>
  <c r="E101" i="3"/>
  <c r="E102" i="3"/>
  <c r="E106" i="3"/>
  <c r="E110" i="3"/>
  <c r="E111" i="3"/>
  <c r="E3" i="3"/>
  <c r="D14" i="3"/>
  <c r="D15" i="3"/>
  <c r="D18" i="3"/>
  <c r="D19" i="3"/>
  <c r="D21" i="3"/>
  <c r="D22" i="3"/>
  <c r="D24" i="3"/>
  <c r="D25" i="3"/>
  <c r="D27" i="3"/>
  <c r="D28" i="3"/>
  <c r="D31" i="3"/>
  <c r="D32" i="3"/>
  <c r="D34" i="3"/>
  <c r="D36" i="3"/>
  <c r="D37" i="3"/>
  <c r="D39" i="3"/>
  <c r="D40" i="3"/>
  <c r="D46" i="3"/>
  <c r="D47" i="3"/>
  <c r="D50" i="3"/>
  <c r="D51" i="3"/>
  <c r="D54" i="3"/>
  <c r="D55" i="3"/>
  <c r="D57" i="3"/>
  <c r="D60" i="3"/>
  <c r="D61" i="3"/>
  <c r="D64" i="3"/>
  <c r="D65" i="3"/>
  <c r="D72" i="3"/>
  <c r="D73" i="3"/>
  <c r="D76" i="3"/>
  <c r="D79" i="3"/>
  <c r="D80" i="3"/>
  <c r="D82" i="3"/>
  <c r="D83" i="3"/>
  <c r="D85" i="3"/>
  <c r="D86" i="3"/>
  <c r="D89" i="3"/>
  <c r="D90" i="3"/>
  <c r="D93" i="3"/>
  <c r="D95" i="3"/>
  <c r="D97" i="3"/>
  <c r="D100" i="3"/>
  <c r="D101" i="3"/>
  <c r="D102" i="3"/>
  <c r="D106" i="3"/>
  <c r="D107" i="3"/>
  <c r="D110" i="3"/>
  <c r="D111" i="3"/>
  <c r="D6" i="3"/>
  <c r="D7" i="3"/>
  <c r="D8" i="3"/>
  <c r="D9" i="3"/>
  <c r="D10" i="3"/>
  <c r="D11" i="3"/>
  <c r="D12" i="3"/>
  <c r="D4" i="3"/>
  <c r="D3" i="3"/>
  <c r="I8" i="3"/>
  <c r="E8" i="3"/>
  <c r="I57" i="4" l="1"/>
  <c r="I85" i="4"/>
  <c r="J102" i="4"/>
  <c r="I69" i="4"/>
  <c r="I34" i="4"/>
  <c r="I12" i="4"/>
  <c r="I61" i="4"/>
  <c r="I36" i="4"/>
  <c r="I64" i="4"/>
  <c r="I40" i="4"/>
  <c r="I107" i="4"/>
  <c r="I106" i="4"/>
  <c r="E57" i="4"/>
  <c r="I68" i="4"/>
  <c r="I86" i="4"/>
  <c r="I80" i="4"/>
  <c r="I60" i="4"/>
  <c r="I79" i="4"/>
  <c r="I51" i="4"/>
  <c r="I31" i="4"/>
  <c r="J33" i="4"/>
  <c r="I97" i="4"/>
  <c r="I21" i="4"/>
  <c r="I4" i="4"/>
  <c r="J77" i="4"/>
  <c r="J81" i="4"/>
  <c r="I54" i="4"/>
  <c r="J58" i="4"/>
  <c r="J29" i="4"/>
  <c r="I100" i="4"/>
  <c r="I19" i="4"/>
  <c r="J84" i="4"/>
  <c r="J35" i="4"/>
  <c r="E55" i="4"/>
  <c r="I55" i="4"/>
  <c r="I15" i="4"/>
  <c r="I32" i="4"/>
  <c r="J56" i="4"/>
  <c r="J52" i="4"/>
  <c r="I50" i="4"/>
  <c r="I28" i="4"/>
  <c r="J48" i="4"/>
  <c r="J98" i="4"/>
  <c r="I93" i="4"/>
  <c r="I25" i="4"/>
  <c r="J112" i="4"/>
  <c r="E40" i="4"/>
  <c r="I24" i="4"/>
  <c r="I65" i="4"/>
  <c r="I8" i="4"/>
  <c r="I3" i="4"/>
  <c r="I39" i="4"/>
  <c r="I111" i="4"/>
  <c r="I76" i="4"/>
  <c r="J105" i="4"/>
  <c r="J26" i="4"/>
  <c r="D10" i="4"/>
  <c r="I110" i="4"/>
  <c r="I37" i="4"/>
  <c r="J91" i="4"/>
  <c r="I14" i="4"/>
  <c r="J38" i="4"/>
  <c r="J74" i="4"/>
  <c r="J41" i="4"/>
  <c r="J66" i="4"/>
  <c r="J87" i="4"/>
  <c r="I95" i="4"/>
  <c r="I27" i="4"/>
  <c r="J62" i="4"/>
  <c r="I7" i="4"/>
  <c r="J96" i="4"/>
  <c r="J108" i="4"/>
  <c r="I22" i="4"/>
  <c r="J23" i="4"/>
  <c r="J94" i="4"/>
  <c r="J20" i="4"/>
  <c r="I9" i="4"/>
  <c r="H94" i="4"/>
  <c r="E64" i="4"/>
  <c r="I83" i="4"/>
  <c r="I89" i="4"/>
  <c r="D28" i="4"/>
  <c r="I46" i="4"/>
  <c r="E61" i="4"/>
  <c r="E18" i="4"/>
  <c r="E24" i="4"/>
  <c r="G93" i="4"/>
  <c r="G76" i="4"/>
  <c r="G57" i="4"/>
  <c r="G22" i="4"/>
  <c r="I47" i="4"/>
  <c r="I90" i="4"/>
  <c r="F81" i="4"/>
  <c r="G110" i="4"/>
  <c r="I101" i="4"/>
  <c r="D3" i="4"/>
  <c r="E46" i="4"/>
  <c r="E97" i="4"/>
  <c r="D40" i="4"/>
  <c r="D25" i="4"/>
  <c r="F96" i="4"/>
  <c r="E80" i="4"/>
  <c r="G90" i="4"/>
  <c r="G73" i="4"/>
  <c r="G55" i="4"/>
  <c r="E14" i="4"/>
  <c r="E31" i="4"/>
  <c r="I82" i="4"/>
  <c r="D65" i="4"/>
  <c r="D47" i="4"/>
  <c r="E28" i="4"/>
  <c r="I10" i="4"/>
  <c r="I11" i="4"/>
  <c r="D106" i="4"/>
  <c r="D86" i="4"/>
  <c r="D21" i="4"/>
  <c r="I73" i="4"/>
  <c r="D36" i="4"/>
  <c r="I72" i="4"/>
  <c r="I6" i="4"/>
  <c r="D64" i="4"/>
  <c r="E27" i="4"/>
  <c r="E25" i="4"/>
  <c r="H58" i="4"/>
  <c r="E60" i="4"/>
  <c r="E39" i="4"/>
  <c r="G97" i="4"/>
  <c r="E22" i="4"/>
  <c r="E36" i="4"/>
  <c r="E34" i="4"/>
  <c r="E19" i="4"/>
  <c r="E21" i="4"/>
  <c r="D111" i="4"/>
  <c r="E32" i="4"/>
  <c r="E15" i="4"/>
  <c r="F87" i="4"/>
  <c r="F29" i="4"/>
  <c r="G82" i="4"/>
  <c r="G64" i="4"/>
  <c r="H64" i="4" s="1"/>
  <c r="H112" i="4"/>
  <c r="H38" i="4"/>
  <c r="G7" i="4"/>
  <c r="D90" i="4"/>
  <c r="D73" i="4"/>
  <c r="D51" i="4"/>
  <c r="F94" i="4"/>
  <c r="G3" i="4"/>
  <c r="H62" i="4"/>
  <c r="D27" i="4"/>
  <c r="G101" i="4"/>
  <c r="H66" i="4"/>
  <c r="H48" i="4"/>
  <c r="G46" i="4"/>
  <c r="G107" i="4"/>
  <c r="D31" i="4"/>
  <c r="D15" i="4"/>
  <c r="G106" i="4"/>
  <c r="G85" i="4"/>
  <c r="J85" i="4" s="1"/>
  <c r="G68" i="4"/>
  <c r="H68" i="4" s="1"/>
  <c r="G50" i="4"/>
  <c r="D55" i="4"/>
  <c r="D61" i="4"/>
  <c r="F52" i="4"/>
  <c r="D18" i="4"/>
  <c r="F77" i="4"/>
  <c r="D110" i="4"/>
  <c r="D32" i="4"/>
  <c r="E93" i="4"/>
  <c r="G89" i="4"/>
  <c r="G8" i="4"/>
  <c r="D89" i="4"/>
  <c r="D50" i="4"/>
  <c r="G70" i="4"/>
  <c r="H70" i="4" s="1"/>
  <c r="H52" i="4"/>
  <c r="G18" i="4"/>
  <c r="J18" i="4" s="1"/>
  <c r="G95" i="4"/>
  <c r="G79" i="4"/>
  <c r="G60" i="4"/>
  <c r="G39" i="4"/>
  <c r="E76" i="4"/>
  <c r="D72" i="4"/>
  <c r="F66" i="4"/>
  <c r="G14" i="4"/>
  <c r="D12" i="4"/>
  <c r="E65" i="4"/>
  <c r="E47" i="4"/>
  <c r="D60" i="4"/>
  <c r="D4" i="4"/>
  <c r="D82" i="4"/>
  <c r="E83" i="4"/>
  <c r="E54" i="4"/>
  <c r="G72" i="4"/>
  <c r="G54" i="4"/>
  <c r="G34" i="4"/>
  <c r="G19" i="4"/>
  <c r="G40" i="4"/>
  <c r="G24" i="4"/>
  <c r="D79" i="4"/>
  <c r="G111" i="4"/>
  <c r="D14" i="4"/>
  <c r="E51" i="4"/>
  <c r="G86" i="4"/>
  <c r="G69" i="4"/>
  <c r="H69" i="4" s="1"/>
  <c r="G51" i="4"/>
  <c r="G32" i="4"/>
  <c r="E106" i="4"/>
  <c r="E11" i="4"/>
  <c r="G27" i="4"/>
  <c r="D101" i="4"/>
  <c r="E86" i="4"/>
  <c r="D24" i="4"/>
  <c r="E102" i="4"/>
  <c r="E85" i="4"/>
  <c r="D39" i="4"/>
  <c r="E100" i="4"/>
  <c r="D54" i="4"/>
  <c r="E4" i="4"/>
  <c r="D34" i="4"/>
  <c r="F91" i="4"/>
  <c r="D100" i="4"/>
  <c r="D83" i="4"/>
  <c r="E101" i="4"/>
  <c r="F84" i="4"/>
  <c r="E7" i="4"/>
  <c r="E90" i="4"/>
  <c r="D9" i="4"/>
  <c r="F58" i="4"/>
  <c r="H96" i="4"/>
  <c r="G80" i="4"/>
  <c r="G61" i="4"/>
  <c r="G25" i="4"/>
  <c r="G31" i="4"/>
  <c r="G15" i="4"/>
  <c r="D97" i="4"/>
  <c r="F38" i="4"/>
  <c r="D80" i="4"/>
  <c r="D57" i="4"/>
  <c r="D37" i="4"/>
  <c r="D22" i="4"/>
  <c r="D85" i="4"/>
  <c r="F98" i="4"/>
  <c r="E82" i="4"/>
  <c r="D7" i="4"/>
  <c r="D19" i="4"/>
  <c r="E95" i="4"/>
  <c r="E79" i="4"/>
  <c r="H56" i="4"/>
  <c r="G36" i="4"/>
  <c r="G21" i="4"/>
  <c r="G4" i="4"/>
  <c r="G10" i="4"/>
  <c r="D95" i="4"/>
  <c r="E111" i="4"/>
  <c r="E73" i="4"/>
  <c r="D93" i="4"/>
  <c r="D76" i="4"/>
  <c r="E89" i="4"/>
  <c r="E72" i="4"/>
  <c r="E50" i="4"/>
  <c r="E110" i="4"/>
  <c r="G100" i="4"/>
  <c r="G83" i="4"/>
  <c r="H83" i="4" s="1"/>
  <c r="G65" i="4"/>
  <c r="G47" i="4"/>
  <c r="G28" i="4"/>
  <c r="G12" i="4"/>
  <c r="D8" i="4"/>
  <c r="D11" i="4"/>
  <c r="G11" i="4"/>
  <c r="G9" i="4"/>
  <c r="E10" i="4"/>
  <c r="G12" i="3"/>
  <c r="E12" i="4" s="1"/>
  <c r="G9" i="3"/>
  <c r="E9" i="4" s="1"/>
  <c r="G8" i="3"/>
  <c r="E8" i="4" s="1"/>
  <c r="I6" i="3"/>
  <c r="G6" i="4" s="1"/>
  <c r="G6" i="3"/>
  <c r="E6" i="4" s="1"/>
  <c r="E6" i="3"/>
  <c r="D6" i="4" s="1"/>
  <c r="J12" i="4" l="1"/>
  <c r="J106" i="4"/>
  <c r="J21" i="4"/>
  <c r="F79" i="4"/>
  <c r="J15" i="4"/>
  <c r="J7" i="4"/>
  <c r="H57" i="4"/>
  <c r="J61" i="4"/>
  <c r="F57" i="4"/>
  <c r="J79" i="4"/>
  <c r="J107" i="4"/>
  <c r="J36" i="4"/>
  <c r="H27" i="4"/>
  <c r="J86" i="4"/>
  <c r="J80" i="4"/>
  <c r="J31" i="4"/>
  <c r="J51" i="4"/>
  <c r="J39" i="4"/>
  <c r="J60" i="4"/>
  <c r="J97" i="4"/>
  <c r="F55" i="4"/>
  <c r="J76" i="4"/>
  <c r="J14" i="4"/>
  <c r="J32" i="4"/>
  <c r="J4" i="4"/>
  <c r="J22" i="4"/>
  <c r="J50" i="4"/>
  <c r="F40" i="4"/>
  <c r="H40" i="4"/>
  <c r="J65" i="4"/>
  <c r="J110" i="4"/>
  <c r="H55" i="4"/>
  <c r="J24" i="4"/>
  <c r="H100" i="4"/>
  <c r="J89" i="4"/>
  <c r="F10" i="4"/>
  <c r="J95" i="4"/>
  <c r="J90" i="4"/>
  <c r="F73" i="4"/>
  <c r="J93" i="4"/>
  <c r="J47" i="4"/>
  <c r="F95" i="4"/>
  <c r="J25" i="4"/>
  <c r="H80" i="4"/>
  <c r="H54" i="4"/>
  <c r="F110" i="4"/>
  <c r="F36" i="4"/>
  <c r="J111" i="4"/>
  <c r="J83" i="4"/>
  <c r="J57" i="4"/>
  <c r="J9" i="4"/>
  <c r="J27" i="4"/>
  <c r="F39" i="4"/>
  <c r="F9" i="4"/>
  <c r="H19" i="4"/>
  <c r="J3" i="4"/>
  <c r="J8" i="4"/>
  <c r="J69" i="4"/>
  <c r="F90" i="4"/>
  <c r="J19" i="4"/>
  <c r="F25" i="4"/>
  <c r="F32" i="4"/>
  <c r="J40" i="4"/>
  <c r="J64" i="4"/>
  <c r="J11" i="4"/>
  <c r="F11" i="4"/>
  <c r="J10" i="4"/>
  <c r="J68" i="4"/>
  <c r="F82" i="4"/>
  <c r="F28" i="4"/>
  <c r="H28" i="4"/>
  <c r="F4" i="4"/>
  <c r="F24" i="4"/>
  <c r="F76" i="4"/>
  <c r="F21" i="4"/>
  <c r="J6" i="4"/>
  <c r="J82" i="4"/>
  <c r="J28" i="4"/>
  <c r="J100" i="4"/>
  <c r="H34" i="4"/>
  <c r="H89" i="4"/>
  <c r="F64" i="4"/>
  <c r="F8" i="4"/>
  <c r="F83" i="4"/>
  <c r="J72" i="4"/>
  <c r="F31" i="4"/>
  <c r="J101" i="4"/>
  <c r="J46" i="4"/>
  <c r="H110" i="4"/>
  <c r="J34" i="4"/>
  <c r="J73" i="4"/>
  <c r="J55" i="4"/>
  <c r="F89" i="4"/>
  <c r="F80" i="4"/>
  <c r="J54" i="4"/>
  <c r="F26" i="4"/>
  <c r="F6" i="4"/>
  <c r="F27" i="4"/>
  <c r="F19" i="4"/>
  <c r="F54" i="4"/>
  <c r="F62" i="4"/>
  <c r="F112" i="4"/>
  <c r="F20" i="4"/>
  <c r="F35" i="4"/>
  <c r="F12" i="4"/>
  <c r="H8" i="4"/>
  <c r="F50" i="4"/>
  <c r="F72" i="4"/>
  <c r="H111" i="4"/>
  <c r="F60" i="4"/>
  <c r="F56" i="4"/>
  <c r="F101" i="4"/>
  <c r="F86" i="4"/>
  <c r="F47" i="4"/>
  <c r="H20" i="4"/>
  <c r="F33" i="4"/>
  <c r="F111" i="4"/>
  <c r="F106" i="4"/>
  <c r="F41" i="4"/>
  <c r="F34" i="4"/>
  <c r="F100" i="4"/>
  <c r="H9" i="4"/>
  <c r="F85" i="4"/>
  <c r="H11" i="4"/>
  <c r="F7" i="4"/>
  <c r="F14" i="4"/>
  <c r="F18" i="4"/>
  <c r="H91" i="4"/>
  <c r="F93" i="4"/>
  <c r="F108" i="4"/>
  <c r="F61" i="4"/>
  <c r="H12" i="4"/>
  <c r="F65" i="4"/>
  <c r="F15" i="4"/>
  <c r="H77" i="4"/>
  <c r="F23" i="4"/>
  <c r="H35" i="4"/>
  <c r="F74" i="4"/>
  <c r="H36" i="4"/>
  <c r="F51" i="4"/>
  <c r="H106" i="4"/>
  <c r="H81" i="4"/>
  <c r="H98" i="4"/>
  <c r="F22" i="4"/>
  <c r="F97" i="4"/>
  <c r="H93" i="4"/>
  <c r="H39" i="4"/>
  <c r="H60" i="4"/>
  <c r="H79" i="4"/>
  <c r="H7" i="4"/>
  <c r="H23" i="4"/>
  <c r="H65" i="4"/>
  <c r="H90" i="4"/>
  <c r="H61" i="4"/>
  <c r="H33" i="4"/>
  <c r="H108" i="4"/>
  <c r="H6" i="4"/>
  <c r="H10" i="4"/>
  <c r="H32" i="4"/>
  <c r="H26" i="4"/>
  <c r="H4" i="4"/>
  <c r="H87" i="4"/>
  <c r="H97" i="4"/>
  <c r="H74" i="4"/>
  <c r="H102" i="4"/>
  <c r="H46" i="4"/>
  <c r="H24" i="4"/>
  <c r="H15" i="4"/>
  <c r="H47" i="4"/>
  <c r="H31" i="4"/>
  <c r="H95" i="4"/>
  <c r="H84" i="4"/>
  <c r="H73" i="4"/>
  <c r="H25" i="4"/>
  <c r="H18" i="4"/>
  <c r="H101" i="4"/>
  <c r="H14" i="4"/>
  <c r="H72" i="4"/>
  <c r="H29" i="4"/>
  <c r="H51" i="4"/>
  <c r="H50" i="4"/>
  <c r="H22" i="4"/>
  <c r="H21" i="4"/>
  <c r="H86" i="4"/>
  <c r="H85" i="4"/>
  <c r="H41" i="4"/>
  <c r="H82" i="4"/>
  <c r="H76" i="4"/>
  <c r="G104" i="4"/>
  <c r="G103" i="4"/>
  <c r="J104" i="3"/>
  <c r="I104" i="4" s="1"/>
  <c r="J103" i="3"/>
  <c r="I103" i="4" s="1"/>
  <c r="G50" i="1"/>
  <c r="E46" i="3" l="1"/>
  <c r="D46" i="4" s="1"/>
  <c r="F46" i="4" s="1"/>
  <c r="E48" i="3"/>
  <c r="F48" i="4"/>
  <c r="J104" i="4"/>
  <c r="J103" i="4"/>
  <c r="G107" i="3"/>
  <c r="E107" i="4" s="1"/>
  <c r="E107" i="3"/>
  <c r="D107" i="4" s="1"/>
  <c r="H107" i="4" l="1"/>
  <c r="F107" i="4"/>
  <c r="I37" i="3"/>
  <c r="G37" i="4" s="1"/>
  <c r="J37" i="4" s="1"/>
  <c r="G37" i="3"/>
  <c r="E37" i="4" s="1"/>
  <c r="F37" i="4" s="1"/>
  <c r="H37" i="4" l="1"/>
  <c r="G3" i="3"/>
  <c r="E3" i="4" s="1"/>
  <c r="H3" i="4" s="1"/>
  <c r="F3"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7BD5D0F-6008-4019-B4FF-D65078C6B968}" keepAlive="1" name="Requête - Base_Finale" description="Connexion à la requête « Base_Finale » dans le classeur." type="5" refreshedVersion="8" background="1" saveData="1">
    <dbPr connection="Provider=Microsoft.Mashup.OleDb.1;Data Source=$Workbook$;Location=Base_Finale;Extended Properties=&quot;&quot;" command="SELECT * FROM [Base_Finale]"/>
  </connection>
  <connection id="2" xr16:uid="{2EEBC394-5A7D-4671-A27C-7FD78928EB9F}" keepAlive="1" name="Requête - Table_Annuel" description="Connexion à la requête « Table_Annuel » dans le classeur." type="5" refreshedVersion="0" background="1">
    <dbPr connection="Provider=Microsoft.Mashup.OleDb.1;Data Source=$Workbook$;Location=Table_Annuel;Extended Properties=&quot;&quot;" command="SELECT * FROM [Table_Annuel]"/>
  </connection>
  <connection id="3" xr16:uid="{0546B254-4EB5-455F-B8E5-B96AF6D2513B}" keepAlive="1" name="Requête - Table_Semestriel" description="Connexion à la requête « Table_Semestriel » dans le classeur." type="5" refreshedVersion="0" background="1">
    <dbPr connection="Provider=Microsoft.Mashup.OleDb.1;Data Source=$Workbook$;Location=Table_Semestriel;Extended Properties=&quot;&quot;" command="SELECT * FROM [Table_Semestriel]"/>
  </connection>
  <connection id="4" xr16:uid="{CD21217F-1BFA-4DDA-95D2-DE14954BFCEE}" keepAlive="1" name="Requête - Table_Trims" description="Connexion à la requête « Table_Trims » dans le classeur." type="5" refreshedVersion="0" background="1">
    <dbPr connection="Provider=Microsoft.Mashup.OleDb.1;Data Source=$Workbook$;Location=Table_Trims;Extended Properties=&quot;&quot;" command="SELECT * FROM [Table_Trims]"/>
  </connection>
</connections>
</file>

<file path=xl/sharedStrings.xml><?xml version="1.0" encoding="utf-8"?>
<sst xmlns="http://schemas.openxmlformats.org/spreadsheetml/2006/main" count="14271" uniqueCount="165">
  <si>
    <t>Mmad</t>
  </si>
  <si>
    <t>ATLANTASANAD</t>
  </si>
  <si>
    <t xml:space="preserve">WAFA ASSURANCE </t>
  </si>
  <si>
    <t>ATTIJARIWAFA BANK</t>
  </si>
  <si>
    <t>BANK OF AFRICA</t>
  </si>
  <si>
    <t>BCP</t>
  </si>
  <si>
    <t>BMCI</t>
  </si>
  <si>
    <t>CDM</t>
  </si>
  <si>
    <t>CFG BANK</t>
  </si>
  <si>
    <t xml:space="preserve">CIH </t>
  </si>
  <si>
    <t>EQDOM</t>
  </si>
  <si>
    <t>SALAFIN</t>
  </si>
  <si>
    <t>COSUMAR</t>
  </si>
  <si>
    <t>LESIEUR CRISTAL</t>
  </si>
  <si>
    <t>MUTANDIS</t>
  </si>
  <si>
    <t>SOCIETE DES BOISSONS DU MAROC</t>
  </si>
  <si>
    <t>JET CONTRACTORS</t>
  </si>
  <si>
    <t>LAFARGEHOLCIM MAROC</t>
  </si>
  <si>
    <t>SONASID</t>
  </si>
  <si>
    <t>TGCC S.A</t>
  </si>
  <si>
    <t>LABEL VIE</t>
  </si>
  <si>
    <t>TAQA MOROCCO</t>
  </si>
  <si>
    <t>AFRIQUIA GAZ</t>
  </si>
  <si>
    <t xml:space="preserve">TOTALENERGIES </t>
  </si>
  <si>
    <t>DELTA HOLDING</t>
  </si>
  <si>
    <t>RISMA</t>
  </si>
  <si>
    <t>CMGP GROUP</t>
  </si>
  <si>
    <t>SODEP-Marsa Maroc</t>
  </si>
  <si>
    <t>HPS</t>
  </si>
  <si>
    <t>MANAGEM</t>
  </si>
  <si>
    <t>MINIERIE TOUISSIT</t>
  </si>
  <si>
    <t>SMI</t>
  </si>
  <si>
    <t>ITISSALAT AL-MAGHRIB</t>
  </si>
  <si>
    <t>ALLIANCES</t>
  </si>
  <si>
    <t>DOUJA PROM ADDOHA</t>
  </si>
  <si>
    <t>RESIDENCES DAR SAADA</t>
  </si>
  <si>
    <t xml:space="preserve">AKDITAL </t>
  </si>
  <si>
    <t>VICENNE</t>
  </si>
  <si>
    <t>SOTHEMA</t>
  </si>
  <si>
    <t>ARADEI CAPITAL</t>
  </si>
  <si>
    <t xml:space="preserve">Assurances  </t>
  </si>
  <si>
    <t>Banques</t>
  </si>
  <si>
    <t xml:space="preserve">Services Financiers </t>
  </si>
  <si>
    <t>Agroalimentaire et Boissons</t>
  </si>
  <si>
    <t>BTP</t>
  </si>
  <si>
    <t>Distribution Alimentaire</t>
  </si>
  <si>
    <t>GAZ</t>
  </si>
  <si>
    <t>HOLDING</t>
  </si>
  <si>
    <t>Hotels-Tourisme &amp; Loisirs</t>
  </si>
  <si>
    <t>Industrie Agricole</t>
  </si>
  <si>
    <t>Industries Transport</t>
  </si>
  <si>
    <t>Logiciels &amp; Services Informatiques</t>
  </si>
  <si>
    <t>Mines</t>
  </si>
  <si>
    <t>Opérateurs Telecom</t>
  </si>
  <si>
    <t>Participation et Promotion Immo</t>
  </si>
  <si>
    <t xml:space="preserve">Santé </t>
  </si>
  <si>
    <t>Sociétés de Placement Immo</t>
  </si>
  <si>
    <t>CA</t>
  </si>
  <si>
    <t xml:space="preserve">Capex </t>
  </si>
  <si>
    <t>Endettement</t>
  </si>
  <si>
    <t>T1</t>
  </si>
  <si>
    <t>T2</t>
  </si>
  <si>
    <t>S1</t>
  </si>
  <si>
    <t>T3</t>
  </si>
  <si>
    <t>ATL</t>
  </si>
  <si>
    <t>WAA</t>
  </si>
  <si>
    <t>ATW</t>
  </si>
  <si>
    <t>BOA</t>
  </si>
  <si>
    <t>BCI</t>
  </si>
  <si>
    <t>CFG</t>
  </si>
  <si>
    <t>CIH</t>
  </si>
  <si>
    <t>EQD</t>
  </si>
  <si>
    <t>SLF</t>
  </si>
  <si>
    <t>CSR</t>
  </si>
  <si>
    <t>LES</t>
  </si>
  <si>
    <t>MUT</t>
  </si>
  <si>
    <t>SBM</t>
  </si>
  <si>
    <t>JET</t>
  </si>
  <si>
    <t>LHM</t>
  </si>
  <si>
    <t>SID</t>
  </si>
  <si>
    <t>TGC</t>
  </si>
  <si>
    <t>LBV</t>
  </si>
  <si>
    <t>TQM</t>
  </si>
  <si>
    <t>TMA</t>
  </si>
  <si>
    <t>DHO</t>
  </si>
  <si>
    <t>RIS</t>
  </si>
  <si>
    <t>CMG</t>
  </si>
  <si>
    <t>MSA</t>
  </si>
  <si>
    <t>MNG</t>
  </si>
  <si>
    <t>CMT</t>
  </si>
  <si>
    <t>IAM</t>
  </si>
  <si>
    <t>ADI</t>
  </si>
  <si>
    <t>ADH</t>
  </si>
  <si>
    <t>RDS</t>
  </si>
  <si>
    <t>AKT</t>
  </si>
  <si>
    <t>VCN</t>
  </si>
  <si>
    <t>SOT</t>
  </si>
  <si>
    <t>ARD</t>
  </si>
  <si>
    <t>S2</t>
  </si>
  <si>
    <t>Cash Plus</t>
  </si>
  <si>
    <t>SGTM</t>
  </si>
  <si>
    <t>GTM</t>
  </si>
  <si>
    <t>CAP</t>
  </si>
  <si>
    <t>Electrecité</t>
  </si>
  <si>
    <t>Var %_23-24</t>
  </si>
  <si>
    <t>Var %_22-23</t>
  </si>
  <si>
    <t>Var %_24-25</t>
  </si>
  <si>
    <t>Colonne1</t>
  </si>
  <si>
    <t>2022</t>
  </si>
  <si>
    <t>2023</t>
  </si>
  <si>
    <t>2024</t>
  </si>
  <si>
    <t>2025</t>
  </si>
  <si>
    <t>2022_T2</t>
  </si>
  <si>
    <t>2022_T3</t>
  </si>
  <si>
    <t>2022_T4</t>
  </si>
  <si>
    <t>2022_T1</t>
  </si>
  <si>
    <t>2023_T1</t>
  </si>
  <si>
    <t>2023_T2</t>
  </si>
  <si>
    <t>2023_T3</t>
  </si>
  <si>
    <t>2023_T4</t>
  </si>
  <si>
    <t>2024_T1</t>
  </si>
  <si>
    <t>2024_T2</t>
  </si>
  <si>
    <t>2024_T3</t>
  </si>
  <si>
    <t>2024_T4</t>
  </si>
  <si>
    <t>2025_T1</t>
  </si>
  <si>
    <t>2025_T2</t>
  </si>
  <si>
    <t>2025_T3</t>
  </si>
  <si>
    <t>2025_T4</t>
  </si>
  <si>
    <t>Ticker</t>
  </si>
  <si>
    <t>TypeValeur</t>
  </si>
  <si>
    <t>S1_2022</t>
  </si>
  <si>
    <t>S2_2022</t>
  </si>
  <si>
    <t>S1_2023</t>
  </si>
  <si>
    <t>S2_2023</t>
  </si>
  <si>
    <t>S1_2024</t>
  </si>
  <si>
    <t>S2_2024</t>
  </si>
  <si>
    <t xml:space="preserve">S1_2025 </t>
  </si>
  <si>
    <t>S2_2025</t>
  </si>
  <si>
    <t>Société</t>
  </si>
  <si>
    <t>Année</t>
  </si>
  <si>
    <t>Période</t>
  </si>
  <si>
    <t>Valeur</t>
  </si>
  <si>
    <t>TypePériode</t>
  </si>
  <si>
    <t>Trimestriel</t>
  </si>
  <si>
    <t>T4</t>
  </si>
  <si>
    <t>Semestriel</t>
  </si>
  <si>
    <t>Annuel</t>
  </si>
  <si>
    <t>Étiquettes de lignes</t>
  </si>
  <si>
    <t>Somme de Valeur</t>
  </si>
  <si>
    <t>Total général</t>
  </si>
  <si>
    <t>2026_T1</t>
  </si>
  <si>
    <t>2026_T2</t>
  </si>
  <si>
    <t>2026_T3</t>
  </si>
  <si>
    <t>2026_T4</t>
  </si>
  <si>
    <t>Distribution Automobile</t>
  </si>
  <si>
    <t>AUTO HALL</t>
  </si>
  <si>
    <t>AUTO NEJMA</t>
  </si>
  <si>
    <t>ATH</t>
  </si>
  <si>
    <t>NEJ</t>
  </si>
  <si>
    <t>MAGHREB OXYGENE</t>
  </si>
  <si>
    <t>MOX</t>
  </si>
  <si>
    <t>SANLAM</t>
  </si>
  <si>
    <t>SAH</t>
  </si>
  <si>
    <t>CIMENT DU MAROC</t>
  </si>
  <si>
    <t>CMA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</si>
</sst>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_-;\-* #,##0_-;_-* &quot;-&quot;??_-;_-@_-"/>
    <numFmt numFmtId="165" formatCode="_-* #,##0.0_-;\-* #,##0.0_-;_-* &quot;-&quot;??_-;_-@_-"/>
    <numFmt numFmtId="166" formatCode="0.0%"/>
  </numFmts>
  <fonts count="10" x14ac:knownFonts="1">
    <font>
      <sz val="11"/>
      <color theme="1"/>
      <name val="Aptos Narrow"/>
      <family val="2"/>
      <scheme val="minor"/>
    </font>
    <font>
      <sz val="11"/>
      <color theme="1"/>
      <name val="Aptos Narrow"/>
      <family val="2"/>
      <scheme val="minor"/>
    </font>
    <font>
      <b/>
      <sz val="11"/>
      <color theme="0"/>
      <name val="Aptos Narrow"/>
      <family val="2"/>
      <scheme val="minor"/>
    </font>
    <font>
      <b/>
      <i/>
      <sz val="11"/>
      <color theme="2" tint="-0.499984740745262"/>
      <name val="Aptos Narrow"/>
      <family val="2"/>
      <scheme val="minor"/>
    </font>
    <font>
      <b/>
      <i/>
      <sz val="11"/>
      <color theme="1"/>
      <name val="Aptos Narrow"/>
      <family val="2"/>
      <scheme val="minor"/>
    </font>
    <font>
      <b/>
      <sz val="11"/>
      <color theme="3" tint="9.9978637043366805E-2"/>
      <name val="Aptos Narrow"/>
      <family val="2"/>
      <scheme val="minor"/>
    </font>
    <font>
      <b/>
      <sz val="11"/>
      <color theme="2" tint="-0.499984740745262"/>
      <name val="Aptos Narrow"/>
      <family val="2"/>
      <scheme val="minor"/>
    </font>
    <font>
      <b/>
      <i/>
      <sz val="11"/>
      <color theme="0"/>
      <name val="Aptos Narrow"/>
      <family val="2"/>
      <scheme val="minor"/>
    </font>
    <font>
      <b/>
      <i/>
      <sz val="11"/>
      <color theme="5" tint="0.39997558519241921"/>
      <name val="Aptos Narrow"/>
      <family val="2"/>
      <scheme val="minor"/>
    </font>
    <font>
      <sz val="8"/>
      <name val="Aptos Narrow"/>
      <family val="2"/>
      <scheme val="minor"/>
    </font>
  </fonts>
  <fills count="8">
    <fill>
      <patternFill patternType="none"/>
    </fill>
    <fill>
      <patternFill patternType="gray125"/>
    </fill>
    <fill>
      <patternFill patternType="solid">
        <fgColor theme="3" tint="0.89999084444715716"/>
        <bgColor indexed="64"/>
      </patternFill>
    </fill>
    <fill>
      <patternFill patternType="solid">
        <fgColor theme="7" tint="-0.499984740745262"/>
        <bgColor indexed="64"/>
      </patternFill>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rgb="FFFFFF0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right style="thin">
        <color indexed="64"/>
      </right>
      <top/>
      <bottom style="thin">
        <color indexed="64"/>
      </bottom>
      <diagonal/>
    </border>
    <border>
      <left/>
      <right/>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98">
    <xf numFmtId="0" fontId="0" fillId="0" borderId="0" xfId="0"/>
    <xf numFmtId="0" fontId="4" fillId="0" borderId="13" xfId="0" applyFont="1" applyBorder="1"/>
    <xf numFmtId="0" fontId="6" fillId="0" borderId="9" xfId="0" applyFont="1" applyBorder="1" applyAlignment="1">
      <alignment horizontal="center" vertical="center"/>
    </xf>
    <xf numFmtId="0" fontId="0" fillId="0" borderId="1" xfId="0" applyBorder="1" applyAlignment="1">
      <alignment horizontal="center" vertical="center"/>
    </xf>
    <xf numFmtId="164" fontId="0" fillId="0" borderId="8" xfId="1" applyNumberFormat="1" applyFont="1" applyBorder="1"/>
    <xf numFmtId="164" fontId="0" fillId="0" borderId="7" xfId="1" applyNumberFormat="1" applyFont="1" applyBorder="1"/>
    <xf numFmtId="164" fontId="0" fillId="0" borderId="0" xfId="1" applyNumberFormat="1" applyFont="1"/>
    <xf numFmtId="164" fontId="0" fillId="0" borderId="2" xfId="1" applyNumberFormat="1" applyFont="1" applyBorder="1"/>
    <xf numFmtId="164" fontId="0" fillId="0" borderId="6" xfId="1" applyNumberFormat="1" applyFont="1" applyBorder="1"/>
    <xf numFmtId="164" fontId="0" fillId="0" borderId="5" xfId="1" applyNumberFormat="1" applyFont="1" applyBorder="1"/>
    <xf numFmtId="164" fontId="4" fillId="0" borderId="9" xfId="1" applyNumberFormat="1" applyFont="1" applyBorder="1"/>
    <xf numFmtId="164" fontId="4" fillId="0" borderId="3" xfId="1" applyNumberFormat="1" applyFont="1" applyBorder="1"/>
    <xf numFmtId="164" fontId="4" fillId="0" borderId="13" xfId="1" applyNumberFormat="1" applyFont="1" applyBorder="1"/>
    <xf numFmtId="164" fontId="4" fillId="0" borderId="7" xfId="1" applyNumberFormat="1" applyFont="1" applyBorder="1"/>
    <xf numFmtId="164" fontId="4" fillId="0" borderId="2" xfId="1" applyNumberFormat="1" applyFont="1" applyBorder="1"/>
    <xf numFmtId="164" fontId="4" fillId="0" borderId="5" xfId="1" applyNumberFormat="1" applyFont="1" applyBorder="1"/>
    <xf numFmtId="164" fontId="0" fillId="0" borderId="10" xfId="1" applyNumberFormat="1" applyFont="1" applyBorder="1"/>
    <xf numFmtId="164" fontId="0" fillId="0" borderId="11" xfId="1" applyNumberFormat="1" applyFont="1" applyBorder="1"/>
    <xf numFmtId="164" fontId="0" fillId="0" borderId="12" xfId="1" applyNumberFormat="1" applyFont="1" applyBorder="1"/>
    <xf numFmtId="0" fontId="4" fillId="0" borderId="1" xfId="0" applyFont="1" applyBorder="1"/>
    <xf numFmtId="0" fontId="6" fillId="0" borderId="1" xfId="0" applyFont="1" applyBorder="1" applyAlignment="1">
      <alignment horizontal="center" vertical="center"/>
    </xf>
    <xf numFmtId="164" fontId="6" fillId="0" borderId="1" xfId="1" applyNumberFormat="1" applyFont="1" applyBorder="1" applyAlignment="1">
      <alignment horizontal="center" vertical="center"/>
    </xf>
    <xf numFmtId="164" fontId="4" fillId="0" borderId="1" xfId="1" applyNumberFormat="1" applyFont="1" applyBorder="1"/>
    <xf numFmtId="164" fontId="0" fillId="0" borderId="0" xfId="1" applyNumberFormat="1" applyFont="1" applyFill="1" applyBorder="1"/>
    <xf numFmtId="164" fontId="0" fillId="0" borderId="14" xfId="1" applyNumberFormat="1" applyFont="1" applyBorder="1"/>
    <xf numFmtId="164" fontId="0" fillId="0" borderId="0" xfId="1" applyNumberFormat="1" applyFont="1" applyBorder="1"/>
    <xf numFmtId="164" fontId="0" fillId="0" borderId="11" xfId="1" applyNumberFormat="1" applyFont="1" applyBorder="1" applyAlignment="1">
      <alignment horizontal="center" vertical="center"/>
    </xf>
    <xf numFmtId="164" fontId="0" fillId="4" borderId="15" xfId="1" applyNumberFormat="1" applyFont="1" applyFill="1" applyBorder="1"/>
    <xf numFmtId="164" fontId="0" fillId="4" borderId="8" xfId="1" applyNumberFormat="1" applyFont="1" applyFill="1" applyBorder="1"/>
    <xf numFmtId="164" fontId="0" fillId="4" borderId="7" xfId="1" applyNumberFormat="1" applyFont="1" applyFill="1" applyBorder="1"/>
    <xf numFmtId="164" fontId="0" fillId="4" borderId="4" xfId="1" applyNumberFormat="1" applyFont="1" applyFill="1" applyBorder="1"/>
    <xf numFmtId="164" fontId="0" fillId="4" borderId="0" xfId="1" applyNumberFormat="1" applyFont="1" applyFill="1" applyBorder="1"/>
    <xf numFmtId="164" fontId="0" fillId="4" borderId="2" xfId="1" applyNumberFormat="1" applyFont="1" applyFill="1" applyBorder="1"/>
    <xf numFmtId="164" fontId="0" fillId="4" borderId="14" xfId="1" applyNumberFormat="1" applyFont="1" applyFill="1" applyBorder="1"/>
    <xf numFmtId="164" fontId="0" fillId="4" borderId="6" xfId="1" applyNumberFormat="1" applyFont="1" applyFill="1" applyBorder="1"/>
    <xf numFmtId="164" fontId="0" fillId="4" borderId="5" xfId="1" applyNumberFormat="1" applyFont="1" applyFill="1" applyBorder="1"/>
    <xf numFmtId="164" fontId="0" fillId="0" borderId="6" xfId="1" applyNumberFormat="1" applyFont="1" applyFill="1" applyBorder="1"/>
    <xf numFmtId="164" fontId="0" fillId="0" borderId="8" xfId="1" applyNumberFormat="1" applyFont="1" applyFill="1" applyBorder="1"/>
    <xf numFmtId="164" fontId="0" fillId="4" borderId="0" xfId="1" applyNumberFormat="1" applyFont="1" applyFill="1"/>
    <xf numFmtId="164" fontId="0" fillId="0" borderId="0" xfId="1" applyNumberFormat="1" applyFont="1" applyFill="1"/>
    <xf numFmtId="164" fontId="0" fillId="0" borderId="2" xfId="1" applyNumberFormat="1" applyFont="1" applyFill="1" applyBorder="1"/>
    <xf numFmtId="164" fontId="1" fillId="0" borderId="8" xfId="1" applyNumberFormat="1" applyFont="1" applyFill="1" applyBorder="1" applyAlignment="1">
      <alignment horizontal="left"/>
    </xf>
    <xf numFmtId="164" fontId="1" fillId="0" borderId="0" xfId="1" applyNumberFormat="1" applyFont="1" applyFill="1" applyAlignment="1">
      <alignment horizontal="left"/>
    </xf>
    <xf numFmtId="164" fontId="1" fillId="0" borderId="6" xfId="1" applyNumberFormat="1" applyFont="1" applyBorder="1"/>
    <xf numFmtId="164" fontId="1" fillId="0" borderId="5" xfId="1" applyNumberFormat="1" applyFont="1" applyBorder="1"/>
    <xf numFmtId="164" fontId="1" fillId="0" borderId="7" xfId="1" applyNumberFormat="1" applyFont="1" applyFill="1" applyBorder="1" applyAlignment="1">
      <alignment horizontal="left"/>
    </xf>
    <xf numFmtId="164" fontId="1" fillId="0" borderId="2" xfId="1" applyNumberFormat="1" applyFont="1" applyFill="1" applyBorder="1" applyAlignment="1">
      <alignment horizontal="left"/>
    </xf>
    <xf numFmtId="164" fontId="1" fillId="0" borderId="8" xfId="1" applyNumberFormat="1" applyFont="1" applyBorder="1"/>
    <xf numFmtId="164" fontId="1" fillId="0" borderId="7" xfId="1" applyNumberFormat="1" applyFont="1" applyBorder="1"/>
    <xf numFmtId="164" fontId="1" fillId="0" borderId="0" xfId="1" applyNumberFormat="1" applyFont="1"/>
    <xf numFmtId="164" fontId="1" fillId="0" borderId="2" xfId="1" applyNumberFormat="1" applyFont="1" applyBorder="1"/>
    <xf numFmtId="165" fontId="0" fillId="0" borderId="0" xfId="1" applyNumberFormat="1" applyFont="1"/>
    <xf numFmtId="164" fontId="1" fillId="0" borderId="11" xfId="1" applyNumberFormat="1" applyFont="1" applyBorder="1"/>
    <xf numFmtId="164" fontId="1" fillId="0" borderId="12" xfId="1" applyNumberFormat="1" applyFont="1" applyBorder="1"/>
    <xf numFmtId="164" fontId="1" fillId="0" borderId="11" xfId="1" applyNumberFormat="1" applyFont="1" applyFill="1" applyBorder="1" applyAlignment="1">
      <alignment horizontal="left"/>
    </xf>
    <xf numFmtId="164" fontId="1" fillId="0" borderId="12" xfId="1" applyNumberFormat="1" applyFont="1" applyFill="1" applyBorder="1" applyAlignment="1">
      <alignment horizontal="left"/>
    </xf>
    <xf numFmtId="164" fontId="0" fillId="4" borderId="10" xfId="1" applyNumberFormat="1" applyFont="1" applyFill="1" applyBorder="1"/>
    <xf numFmtId="164" fontId="0" fillId="4" borderId="11" xfId="1" applyNumberFormat="1" applyFont="1" applyFill="1" applyBorder="1"/>
    <xf numFmtId="164" fontId="0" fillId="0" borderId="12" xfId="1" applyNumberFormat="1" applyFont="1" applyFill="1" applyBorder="1"/>
    <xf numFmtId="164" fontId="6" fillId="0" borderId="9" xfId="1" applyNumberFormat="1" applyFont="1" applyBorder="1" applyAlignment="1">
      <alignment horizontal="center" vertical="center"/>
    </xf>
    <xf numFmtId="164" fontId="0" fillId="0" borderId="1" xfId="1" applyNumberFormat="1" applyFont="1" applyBorder="1" applyAlignment="1">
      <alignment horizontal="center" vertical="center"/>
    </xf>
    <xf numFmtId="0" fontId="3" fillId="0" borderId="0" xfId="0" applyFont="1" applyAlignment="1">
      <alignment horizontal="center" vertical="center"/>
    </xf>
    <xf numFmtId="0" fontId="3" fillId="0" borderId="2" xfId="0" applyFont="1" applyBorder="1" applyAlignment="1">
      <alignment horizontal="center" vertical="center"/>
    </xf>
    <xf numFmtId="0" fontId="2" fillId="3" borderId="14" xfId="0" applyFont="1" applyFill="1" applyBorder="1" applyAlignment="1">
      <alignment horizontal="center"/>
    </xf>
    <xf numFmtId="0" fontId="2" fillId="3" borderId="6" xfId="0" applyFont="1" applyFill="1" applyBorder="1" applyAlignment="1">
      <alignment horizontal="center"/>
    </xf>
    <xf numFmtId="0" fontId="2" fillId="3" borderId="5" xfId="0" applyFont="1" applyFill="1" applyBorder="1" applyAlignment="1">
      <alignment horizontal="center"/>
    </xf>
    <xf numFmtId="164" fontId="0" fillId="0" borderId="1" xfId="1" applyNumberFormat="1" applyFont="1" applyBorder="1" applyAlignment="1">
      <alignment horizontal="center" vertical="center" wrapText="1"/>
    </xf>
    <xf numFmtId="164" fontId="0" fillId="0" borderId="0" xfId="1" applyNumberFormat="1" applyFont="1" applyBorder="1" applyAlignment="1">
      <alignment horizontal="center" vertical="center"/>
    </xf>
    <xf numFmtId="164" fontId="0" fillId="0" borderId="8" xfId="1" applyNumberFormat="1" applyFont="1" applyBorder="1" applyAlignment="1">
      <alignment horizontal="center" vertical="center"/>
    </xf>
    <xf numFmtId="0" fontId="2" fillId="3" borderId="0" xfId="0" applyFont="1" applyFill="1" applyAlignment="1">
      <alignment horizontal="center"/>
    </xf>
    <xf numFmtId="0" fontId="0" fillId="0" borderId="13" xfId="0" applyBorder="1" applyAlignment="1">
      <alignment horizontal="center" vertical="center"/>
    </xf>
    <xf numFmtId="0" fontId="6" fillId="0" borderId="3" xfId="0" applyFont="1" applyBorder="1" applyAlignment="1">
      <alignment horizontal="center" vertical="center"/>
    </xf>
    <xf numFmtId="0" fontId="2" fillId="3" borderId="10" xfId="0" applyFont="1" applyFill="1" applyBorder="1" applyAlignment="1">
      <alignment horizontal="center"/>
    </xf>
    <xf numFmtId="0" fontId="2" fillId="3" borderId="12" xfId="0" applyFont="1" applyFill="1" applyBorder="1" applyAlignment="1">
      <alignment horizontal="center"/>
    </xf>
    <xf numFmtId="0" fontId="2" fillId="3" borderId="15" xfId="0" applyFont="1" applyFill="1" applyBorder="1" applyAlignment="1">
      <alignment horizontal="center"/>
    </xf>
    <xf numFmtId="0" fontId="0" fillId="2" borderId="8" xfId="0" applyFill="1" applyBorder="1"/>
    <xf numFmtId="0" fontId="0" fillId="2" borderId="11" xfId="0" applyFill="1" applyBorder="1"/>
    <xf numFmtId="0" fontId="0" fillId="2" borderId="6" xfId="0" applyFill="1" applyBorder="1"/>
    <xf numFmtId="0" fontId="5" fillId="2" borderId="0" xfId="0" applyFont="1" applyFill="1"/>
    <xf numFmtId="0" fontId="5" fillId="2" borderId="2" xfId="0" applyFont="1" applyFill="1" applyBorder="1"/>
    <xf numFmtId="164" fontId="5" fillId="2" borderId="0" xfId="1" applyNumberFormat="1" applyFont="1" applyFill="1" applyAlignment="1"/>
    <xf numFmtId="164" fontId="5" fillId="2" borderId="2" xfId="1" applyNumberFormat="1" applyFont="1" applyFill="1" applyBorder="1" applyAlignment="1"/>
    <xf numFmtId="0" fontId="5" fillId="2" borderId="11" xfId="0" applyFont="1" applyFill="1" applyBorder="1"/>
    <xf numFmtId="0" fontId="2" fillId="3" borderId="7" xfId="0" applyFont="1" applyFill="1" applyBorder="1" applyAlignment="1">
      <alignment horizontal="center"/>
    </xf>
    <xf numFmtId="0" fontId="0" fillId="0" borderId="6" xfId="0" applyBorder="1"/>
    <xf numFmtId="0" fontId="0" fillId="0" borderId="11" xfId="0" applyBorder="1"/>
    <xf numFmtId="0" fontId="2" fillId="3" borderId="8" xfId="0" applyFont="1" applyFill="1" applyBorder="1" applyAlignment="1">
      <alignment horizontal="center"/>
    </xf>
    <xf numFmtId="164" fontId="0" fillId="0" borderId="15" xfId="1" applyNumberFormat="1" applyFont="1" applyBorder="1"/>
    <xf numFmtId="164" fontId="0" fillId="0" borderId="4" xfId="1" applyNumberFormat="1" applyFont="1" applyBorder="1"/>
    <xf numFmtId="164" fontId="0" fillId="2" borderId="11" xfId="1" applyNumberFormat="1" applyFont="1" applyFill="1" applyBorder="1"/>
    <xf numFmtId="0" fontId="0" fillId="2" borderId="0" xfId="0" applyFill="1"/>
    <xf numFmtId="164" fontId="0" fillId="2" borderId="0" xfId="1" applyNumberFormat="1" applyFont="1" applyFill="1"/>
    <xf numFmtId="164" fontId="0" fillId="2" borderId="0" xfId="1" applyNumberFormat="1" applyFont="1" applyFill="1" applyBorder="1"/>
    <xf numFmtId="164" fontId="0" fillId="2" borderId="2" xfId="1" applyNumberFormat="1" applyFont="1" applyFill="1" applyBorder="1"/>
    <xf numFmtId="164" fontId="0" fillId="0" borderId="1" xfId="1" applyNumberFormat="1" applyFont="1" applyFill="1" applyBorder="1" applyAlignment="1">
      <alignment horizontal="center" vertical="center"/>
    </xf>
    <xf numFmtId="164" fontId="6" fillId="0" borderId="9" xfId="1" applyNumberFormat="1" applyFont="1" applyFill="1" applyBorder="1" applyAlignment="1">
      <alignment horizontal="center" vertical="center"/>
    </xf>
    <xf numFmtId="164" fontId="4" fillId="0" borderId="3" xfId="1" applyNumberFormat="1" applyFont="1" applyFill="1" applyBorder="1"/>
    <xf numFmtId="164" fontId="4" fillId="0" borderId="13" xfId="1" applyNumberFormat="1" applyFont="1" applyFill="1" applyBorder="1"/>
    <xf numFmtId="0" fontId="0" fillId="0" borderId="8" xfId="0" applyBorder="1"/>
    <xf numFmtId="164" fontId="0" fillId="2" borderId="8" xfId="1" applyNumberFormat="1" applyFont="1" applyFill="1" applyBorder="1"/>
    <xf numFmtId="0" fontId="5" fillId="2" borderId="5" xfId="0" applyFont="1" applyFill="1" applyBorder="1"/>
    <xf numFmtId="164" fontId="5" fillId="2" borderId="12" xfId="1" applyNumberFormat="1" applyFont="1" applyFill="1" applyBorder="1" applyAlignment="1"/>
    <xf numFmtId="0" fontId="5" fillId="2" borderId="12" xfId="0" applyFont="1" applyFill="1" applyBorder="1"/>
    <xf numFmtId="165" fontId="0" fillId="0" borderId="0" xfId="1" applyNumberFormat="1" applyFont="1" applyBorder="1"/>
    <xf numFmtId="164" fontId="1" fillId="0" borderId="0" xfId="1" applyNumberFormat="1" applyFont="1" applyBorder="1"/>
    <xf numFmtId="164" fontId="5" fillId="2" borderId="0" xfId="1" applyNumberFormat="1" applyFont="1" applyFill="1" applyBorder="1" applyAlignment="1"/>
    <xf numFmtId="165" fontId="0" fillId="0" borderId="4" xfId="1" applyNumberFormat="1" applyFont="1" applyBorder="1"/>
    <xf numFmtId="164" fontId="5" fillId="2" borderId="4" xfId="1" applyNumberFormat="1" applyFont="1" applyFill="1" applyBorder="1" applyAlignment="1"/>
    <xf numFmtId="164" fontId="1" fillId="0" borderId="15" xfId="1" applyNumberFormat="1" applyFont="1" applyBorder="1"/>
    <xf numFmtId="164" fontId="1" fillId="0" borderId="4" xfId="1" applyNumberFormat="1" applyFont="1" applyBorder="1"/>
    <xf numFmtId="0" fontId="3" fillId="5" borderId="0" xfId="0" applyFont="1" applyFill="1" applyAlignment="1">
      <alignment vertical="center"/>
    </xf>
    <xf numFmtId="164" fontId="0" fillId="0" borderId="9" xfId="1" applyNumberFormat="1" applyFont="1" applyBorder="1"/>
    <xf numFmtId="164" fontId="0" fillId="0" borderId="1" xfId="1" applyNumberFormat="1" applyFont="1" applyBorder="1"/>
    <xf numFmtId="164" fontId="0" fillId="0" borderId="3" xfId="1" applyNumberFormat="1" applyFont="1" applyBorder="1"/>
    <xf numFmtId="164" fontId="0" fillId="4" borderId="9" xfId="1" applyNumberFormat="1" applyFont="1" applyFill="1" applyBorder="1"/>
    <xf numFmtId="164" fontId="0" fillId="4" borderId="3" xfId="1" applyNumberFormat="1" applyFont="1" applyFill="1" applyBorder="1"/>
    <xf numFmtId="164" fontId="0" fillId="4" borderId="13" xfId="1" applyNumberFormat="1" applyFont="1" applyFill="1" applyBorder="1"/>
    <xf numFmtId="164" fontId="0" fillId="4" borderId="1" xfId="1" applyNumberFormat="1" applyFont="1" applyFill="1" applyBorder="1"/>
    <xf numFmtId="0" fontId="7" fillId="6" borderId="0" xfId="0" applyFont="1" applyFill="1" applyAlignment="1">
      <alignment horizontal="center"/>
    </xf>
    <xf numFmtId="0" fontId="0" fillId="0" borderId="4" xfId="0" applyBorder="1"/>
    <xf numFmtId="166" fontId="8" fillId="0" borderId="2" xfId="2" applyNumberFormat="1" applyFont="1" applyBorder="1"/>
    <xf numFmtId="166" fontId="8" fillId="0" borderId="1" xfId="2" applyNumberFormat="1" applyFont="1" applyBorder="1"/>
    <xf numFmtId="166" fontId="8" fillId="2" borderId="11" xfId="2" applyNumberFormat="1" applyFont="1" applyFill="1" applyBorder="1"/>
    <xf numFmtId="166" fontId="8" fillId="0" borderId="13" xfId="2" applyNumberFormat="1" applyFont="1" applyBorder="1"/>
    <xf numFmtId="166" fontId="8" fillId="4" borderId="2" xfId="2" applyNumberFormat="1" applyFont="1" applyFill="1" applyBorder="1"/>
    <xf numFmtId="166" fontId="8" fillId="2" borderId="8" xfId="2" applyNumberFormat="1" applyFont="1" applyFill="1" applyBorder="1"/>
    <xf numFmtId="166" fontId="8" fillId="0" borderId="9" xfId="2" applyNumberFormat="1" applyFont="1" applyBorder="1"/>
    <xf numFmtId="166" fontId="8" fillId="4" borderId="9" xfId="2" applyNumberFormat="1" applyFont="1" applyFill="1" applyBorder="1"/>
    <xf numFmtId="166" fontId="8" fillId="2" borderId="0" xfId="2" applyNumberFormat="1" applyFont="1" applyFill="1" applyBorder="1"/>
    <xf numFmtId="166" fontId="8" fillId="0" borderId="3" xfId="2" applyNumberFormat="1" applyFont="1" applyBorder="1"/>
    <xf numFmtId="164" fontId="8" fillId="2" borderId="8" xfId="1" applyNumberFormat="1" applyFont="1" applyFill="1" applyBorder="1"/>
    <xf numFmtId="164" fontId="8" fillId="4" borderId="1" xfId="1" applyNumberFormat="1" applyFont="1" applyFill="1" applyBorder="1"/>
    <xf numFmtId="164" fontId="8" fillId="4" borderId="9" xfId="1" applyNumberFormat="1" applyFont="1" applyFill="1" applyBorder="1"/>
    <xf numFmtId="164" fontId="8" fillId="4" borderId="3" xfId="1" applyNumberFormat="1" applyFont="1" applyFill="1" applyBorder="1"/>
    <xf numFmtId="166" fontId="8" fillId="4" borderId="3" xfId="2" applyNumberFormat="1" applyFont="1" applyFill="1" applyBorder="1"/>
    <xf numFmtId="166" fontId="8" fillId="4" borderId="13" xfId="2" applyNumberFormat="1" applyFont="1" applyFill="1" applyBorder="1"/>
    <xf numFmtId="166" fontId="8" fillId="2" borderId="9" xfId="2" applyNumberFormat="1" applyFont="1" applyFill="1" applyBorder="1"/>
    <xf numFmtId="164" fontId="0" fillId="0" borderId="9" xfId="1" applyNumberFormat="1" applyFont="1" applyBorder="1" applyAlignment="1">
      <alignment horizontal="center" vertical="center"/>
    </xf>
    <xf numFmtId="164" fontId="0" fillId="0" borderId="9" xfId="1" applyNumberFormat="1" applyFont="1" applyBorder="1" applyAlignment="1">
      <alignment horizontal="center" vertical="center" wrapText="1"/>
    </xf>
    <xf numFmtId="0" fontId="2" fillId="3" borderId="11" xfId="0" applyFont="1" applyFill="1" applyBorder="1" applyAlignment="1">
      <alignment horizontal="center"/>
    </xf>
    <xf numFmtId="164" fontId="0" fillId="0" borderId="7" xfId="1" applyNumberFormat="1" applyFont="1" applyBorder="1"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164" fontId="0" fillId="0" borderId="8" xfId="0" applyNumberFormat="1" applyBorder="1"/>
    <xf numFmtId="164" fontId="0" fillId="7" borderId="3" xfId="1" applyNumberFormat="1" applyFont="1" applyFill="1" applyBorder="1"/>
    <xf numFmtId="164" fontId="0" fillId="7" borderId="13" xfId="1" applyNumberFormat="1" applyFont="1" applyFill="1" applyBorder="1"/>
    <xf numFmtId="164" fontId="0" fillId="7" borderId="0" xfId="1" applyNumberFormat="1" applyFont="1" applyFill="1"/>
    <xf numFmtId="164" fontId="0" fillId="7" borderId="6" xfId="1" applyNumberFormat="1" applyFont="1" applyFill="1" applyBorder="1"/>
    <xf numFmtId="164" fontId="0" fillId="7" borderId="14" xfId="1" applyNumberFormat="1" applyFont="1" applyFill="1" applyBorder="1"/>
    <xf numFmtId="164" fontId="0" fillId="7" borderId="4" xfId="1" applyNumberFormat="1" applyFont="1" applyFill="1" applyBorder="1"/>
    <xf numFmtId="164" fontId="0" fillId="7" borderId="0" xfId="1" applyNumberFormat="1" applyFont="1" applyFill="1" applyBorder="1"/>
    <xf numFmtId="164" fontId="0" fillId="7" borderId="2" xfId="1" applyNumberFormat="1" applyFont="1" applyFill="1" applyBorder="1"/>
    <xf numFmtId="164" fontId="0" fillId="7" borderId="5" xfId="1" applyNumberFormat="1" applyFont="1" applyFill="1" applyBorder="1"/>
    <xf numFmtId="164" fontId="0" fillId="0" borderId="0" xfId="0" applyNumberFormat="1"/>
    <xf numFmtId="164" fontId="0" fillId="7" borderId="0" xfId="0" applyNumberFormat="1" applyFill="1"/>
    <xf numFmtId="164" fontId="0" fillId="7" borderId="8" xfId="0" applyNumberFormat="1" applyFill="1" applyBorder="1"/>
    <xf numFmtId="164" fontId="0" fillId="0" borderId="6" xfId="0" applyNumberFormat="1" applyBorder="1"/>
    <xf numFmtId="164" fontId="0" fillId="7" borderId="6" xfId="0" applyNumberFormat="1" applyFill="1" applyBorder="1"/>
    <xf numFmtId="164" fontId="0" fillId="7" borderId="8" xfId="1" applyNumberFormat="1" applyFont="1" applyFill="1" applyBorder="1"/>
    <xf numFmtId="164" fontId="0" fillId="0" borderId="11" xfId="0" applyNumberFormat="1" applyBorder="1"/>
    <xf numFmtId="166" fontId="8" fillId="2" borderId="12" xfId="2" applyNumberFormat="1" applyFont="1" applyFill="1" applyBorder="1"/>
    <xf numFmtId="166" fontId="8" fillId="0" borderId="12" xfId="2" applyNumberFormat="1" applyFont="1" applyBorder="1"/>
    <xf numFmtId="166" fontId="8" fillId="0" borderId="5" xfId="2" applyNumberFormat="1" applyFont="1" applyBorder="1"/>
    <xf numFmtId="166" fontId="8" fillId="4" borderId="12" xfId="2" applyNumberFormat="1" applyFont="1" applyFill="1" applyBorder="1"/>
    <xf numFmtId="166" fontId="8" fillId="0" borderId="7" xfId="2" applyNumberFormat="1" applyFont="1" applyBorder="1"/>
    <xf numFmtId="0" fontId="5" fillId="2" borderId="10" xfId="0" applyFont="1" applyFill="1" applyBorder="1"/>
    <xf numFmtId="164" fontId="5" fillId="2" borderId="10" xfId="1" applyNumberFormat="1" applyFont="1" applyFill="1" applyBorder="1" applyAlignment="1"/>
    <xf numFmtId="164" fontId="5" fillId="2" borderId="11" xfId="1" applyNumberFormat="1" applyFont="1" applyFill="1" applyBorder="1" applyAlignment="1"/>
    <xf numFmtId="0" fontId="2" fillId="3" borderId="2" xfId="0" applyFont="1" applyFill="1" applyBorder="1" applyAlignment="1">
      <alignment horizontal="center"/>
    </xf>
    <xf numFmtId="164" fontId="6" fillId="0" borderId="3" xfId="1" applyNumberFormat="1" applyFont="1" applyBorder="1" applyAlignment="1">
      <alignment horizontal="center" vertical="center"/>
    </xf>
    <xf numFmtId="164" fontId="4" fillId="0" borderId="0" xfId="1" applyNumberFormat="1" applyFont="1" applyBorder="1"/>
    <xf numFmtId="164" fontId="0" fillId="0" borderId="3" xfId="1" applyNumberFormat="1" applyFont="1" applyBorder="1" applyAlignment="1">
      <alignment horizontal="center" vertical="center"/>
    </xf>
    <xf numFmtId="164" fontId="6" fillId="0" borderId="13" xfId="1" applyNumberFormat="1" applyFont="1" applyBorder="1" applyAlignment="1">
      <alignment horizontal="center" vertical="center"/>
    </xf>
    <xf numFmtId="164" fontId="6" fillId="0" borderId="7" xfId="1" applyNumberFormat="1" applyFont="1" applyBorder="1" applyAlignment="1">
      <alignment horizontal="center" vertical="center"/>
    </xf>
    <xf numFmtId="164" fontId="6" fillId="0" borderId="2" xfId="1" applyNumberFormat="1" applyFont="1" applyBorder="1" applyAlignment="1">
      <alignment horizontal="center" vertical="center"/>
    </xf>
    <xf numFmtId="164" fontId="0" fillId="0" borderId="2" xfId="1" applyNumberFormat="1" applyFont="1" applyBorder="1" applyAlignment="1">
      <alignment horizontal="center" vertical="center"/>
    </xf>
    <xf numFmtId="0" fontId="0" fillId="0" borderId="10" xfId="1" applyNumberFormat="1" applyFont="1" applyBorder="1"/>
    <xf numFmtId="164" fontId="0" fillId="0" borderId="3" xfId="1" applyNumberFormat="1" applyFont="1" applyBorder="1" applyAlignment="1">
      <alignment horizontal="center" vertical="center" wrapText="1"/>
    </xf>
    <xf numFmtId="0" fontId="0" fillId="0" borderId="5" xfId="0" applyBorder="1"/>
    <xf numFmtId="164" fontId="0" fillId="0" borderId="11" xfId="1" applyNumberFormat="1" applyFont="1" applyFill="1" applyBorder="1"/>
    <xf numFmtId="164" fontId="5" fillId="2" borderId="5" xfId="1" applyNumberFormat="1" applyFont="1" applyFill="1" applyBorder="1" applyAlignment="1"/>
    <xf numFmtId="0" fontId="0" fillId="0" borderId="7" xfId="0" applyBorder="1" applyAlignment="1">
      <alignment horizontal="center"/>
    </xf>
    <xf numFmtId="164" fontId="0" fillId="0" borderId="13" xfId="1" applyNumberFormat="1" applyFont="1" applyBorder="1" applyAlignment="1">
      <alignment horizontal="center" vertical="center"/>
    </xf>
    <xf numFmtId="164" fontId="5" fillId="2" borderId="1" xfId="1" applyNumberFormat="1" applyFont="1" applyFill="1" applyBorder="1" applyAlignment="1"/>
    <xf numFmtId="164" fontId="5" fillId="2" borderId="14" xfId="1" applyNumberFormat="1" applyFont="1" applyFill="1" applyBorder="1" applyAlignment="1"/>
    <xf numFmtId="164" fontId="0" fillId="0" borderId="5" xfId="1" applyNumberFormat="1" applyFont="1" applyBorder="1" applyAlignment="1">
      <alignment horizontal="center" vertical="center"/>
    </xf>
    <xf numFmtId="164" fontId="0" fillId="0" borderId="4" xfId="1" applyNumberFormat="1" applyFont="1" applyFill="1" applyBorder="1"/>
    <xf numFmtId="164" fontId="0" fillId="0" borderId="14" xfId="1" applyNumberFormat="1" applyFont="1" applyFill="1" applyBorder="1"/>
    <xf numFmtId="164" fontId="0" fillId="0" borderId="5" xfId="1" applyNumberFormat="1" applyFont="1" applyFill="1" applyBorder="1"/>
    <xf numFmtId="164" fontId="0" fillId="0" borderId="7" xfId="1" applyNumberFormat="1" applyFont="1" applyFill="1" applyBorder="1"/>
    <xf numFmtId="164" fontId="1" fillId="0" borderId="3" xfId="0" applyNumberFormat="1" applyFont="1" applyBorder="1" applyAlignment="1">
      <alignment horizontal="center" vertical="center"/>
    </xf>
    <xf numFmtId="164" fontId="6" fillId="0" borderId="3" xfId="0" applyNumberFormat="1" applyFont="1" applyBorder="1" applyAlignment="1">
      <alignment horizontal="center" vertical="center"/>
    </xf>
    <xf numFmtId="164" fontId="4" fillId="0" borderId="3" xfId="0" applyNumberFormat="1" applyFont="1" applyBorder="1"/>
    <xf numFmtId="164" fontId="1" fillId="0" borderId="0" xfId="0" applyNumberFormat="1" applyFont="1"/>
    <xf numFmtId="164" fontId="1" fillId="0" borderId="2" xfId="0" applyNumberFormat="1" applyFont="1" applyBorder="1"/>
    <xf numFmtId="9" fontId="0" fillId="0" borderId="0" xfId="2" applyFont="1"/>
  </cellXfs>
  <cellStyles count="3">
    <cellStyle name="Milliers" xfId="1" builtinId="3"/>
    <cellStyle name="Normal" xfId="0" builtinId="0"/>
    <cellStyle name="Pourcentage" xfId="2" builtinId="5"/>
  </cellStyles>
  <dxfs count="68">
    <dxf>
      <font>
        <b val="0"/>
        <i val="0"/>
        <strike val="0"/>
        <condense val="0"/>
        <extend val="0"/>
        <outline val="0"/>
        <shadow val="0"/>
        <u val="none"/>
        <vertAlign val="baseline"/>
        <sz val="11"/>
        <color theme="1"/>
        <name val="Aptos Narrow"/>
        <family val="2"/>
        <scheme val="minor"/>
      </font>
      <numFmt numFmtId="164" formatCode="_-* #,##0_-;\-* #,##0_-;_-* &quot;-&quot;??_-;_-@_-"/>
      <border diagonalUp="0" diagonalDown="0" outline="0">
        <left/>
        <right style="thin">
          <color indexed="64"/>
        </right>
        <top/>
        <bottom/>
      </border>
    </dxf>
    <dxf>
      <font>
        <b val="0"/>
        <i val="0"/>
        <strike val="0"/>
        <condense val="0"/>
        <extend val="0"/>
        <outline val="0"/>
        <shadow val="0"/>
        <u val="none"/>
        <vertAlign val="baseline"/>
        <sz val="11"/>
        <color theme="1"/>
        <name val="Aptos Narrow"/>
        <family val="2"/>
        <scheme val="minor"/>
      </font>
      <numFmt numFmtId="164" formatCode="_-* #,##0_-;\-* #,##0_-;_-* &quot;-&quot;??_-;_-@_-"/>
    </dxf>
    <dxf>
      <font>
        <b val="0"/>
        <i val="0"/>
        <strike val="0"/>
        <condense val="0"/>
        <extend val="0"/>
        <outline val="0"/>
        <shadow val="0"/>
        <u val="none"/>
        <vertAlign val="baseline"/>
        <sz val="11"/>
        <color theme="1"/>
        <name val="Aptos Narrow"/>
        <family val="2"/>
        <scheme val="minor"/>
      </font>
      <numFmt numFmtId="164" formatCode="_-* #,##0_-;\-* #,##0_-;_-* &quot;-&quot;??_-;_-@_-"/>
    </dxf>
    <dxf>
      <font>
        <b val="0"/>
        <i val="0"/>
        <strike val="0"/>
        <condense val="0"/>
        <extend val="0"/>
        <outline val="0"/>
        <shadow val="0"/>
        <u val="none"/>
        <vertAlign val="baseline"/>
        <sz val="11"/>
        <color theme="1"/>
        <name val="Aptos Narrow"/>
        <family val="2"/>
        <scheme val="minor"/>
      </font>
      <numFmt numFmtId="164" formatCode="_-* #,##0_-;\-* #,##0_-;_-* &quot;-&quot;??_-;_-@_-"/>
    </dxf>
    <dxf>
      <font>
        <b val="0"/>
        <i val="0"/>
        <strike val="0"/>
        <condense val="0"/>
        <extend val="0"/>
        <outline val="0"/>
        <shadow val="0"/>
        <u val="none"/>
        <vertAlign val="baseline"/>
        <sz val="11"/>
        <color theme="1"/>
        <name val="Aptos Narrow"/>
        <family val="2"/>
        <scheme val="minor"/>
      </font>
      <numFmt numFmtId="164" formatCode="_-* #,##0_-;\-* #,##0_-;_-* &quot;-&quot;??_-;_-@_-"/>
    </dxf>
    <dxf>
      <font>
        <b val="0"/>
        <i val="0"/>
        <strike val="0"/>
        <condense val="0"/>
        <extend val="0"/>
        <outline val="0"/>
        <shadow val="0"/>
        <u val="none"/>
        <vertAlign val="baseline"/>
        <sz val="11"/>
        <color theme="1"/>
        <name val="Aptos Narrow"/>
        <family val="2"/>
        <scheme val="minor"/>
      </font>
      <numFmt numFmtId="164" formatCode="_-* #,##0_-;\-* #,##0_-;_-* &quot;-&quot;??_-;_-@_-"/>
    </dxf>
    <dxf>
      <font>
        <b val="0"/>
        <i val="0"/>
        <strike val="0"/>
        <condense val="0"/>
        <extend val="0"/>
        <outline val="0"/>
        <shadow val="0"/>
        <u val="none"/>
        <vertAlign val="baseline"/>
        <sz val="11"/>
        <color theme="1"/>
        <name val="Aptos Narrow"/>
        <family val="2"/>
        <scheme val="minor"/>
      </font>
      <numFmt numFmtId="164" formatCode="_-* #,##0_-;\-* #,##0_-;_-* &quot;-&quot;??_-;_-@_-"/>
    </dxf>
    <dxf>
      <font>
        <b val="0"/>
        <i val="0"/>
        <strike val="0"/>
        <condense val="0"/>
        <extend val="0"/>
        <outline val="0"/>
        <shadow val="0"/>
        <u val="none"/>
        <vertAlign val="baseline"/>
        <sz val="11"/>
        <color theme="1"/>
        <name val="Aptos Narrow"/>
        <family val="2"/>
        <scheme val="minor"/>
      </font>
      <numFmt numFmtId="164" formatCode="_-* #,##0_-;\-* #,##0_-;_-* &quot;-&quot;??_-;_-@_-"/>
    </dxf>
    <dxf>
      <font>
        <b val="0"/>
        <i val="0"/>
        <strike val="0"/>
        <condense val="0"/>
        <extend val="0"/>
        <outline val="0"/>
        <shadow val="0"/>
        <u val="none"/>
        <vertAlign val="baseline"/>
        <sz val="11"/>
        <color theme="1"/>
        <name val="Aptos Narrow"/>
        <family val="2"/>
        <scheme val="minor"/>
      </font>
      <numFmt numFmtId="164" formatCode="_-* #,##0_-;\-* #,##0_-;_-* &quot;-&quot;??_-;_-@_-"/>
    </dxf>
    <dxf>
      <font>
        <b val="0"/>
        <i val="0"/>
        <strike val="0"/>
        <condense val="0"/>
        <extend val="0"/>
        <outline val="0"/>
        <shadow val="0"/>
        <u val="none"/>
        <vertAlign val="baseline"/>
        <sz val="11"/>
        <color theme="1"/>
        <name val="Aptos Narrow"/>
        <family val="2"/>
        <scheme val="minor"/>
      </font>
      <numFmt numFmtId="164" formatCode="_-* #,##0_-;\-* #,##0_-;_-* &quot;-&quot;??_-;_-@_-"/>
    </dxf>
    <dxf>
      <font>
        <b val="0"/>
        <i val="0"/>
        <strike val="0"/>
        <condense val="0"/>
        <extend val="0"/>
        <outline val="0"/>
        <shadow val="0"/>
        <u val="none"/>
        <vertAlign val="baseline"/>
        <sz val="11"/>
        <color theme="1"/>
        <name val="Aptos Narrow"/>
        <family val="2"/>
        <scheme val="minor"/>
      </font>
      <numFmt numFmtId="164" formatCode="_-* #,##0_-;\-* #,##0_-;_-* &quot;-&quot;??_-;_-@_-"/>
    </dxf>
    <dxf>
      <font>
        <b val="0"/>
        <i val="0"/>
        <strike val="0"/>
        <condense val="0"/>
        <extend val="0"/>
        <outline val="0"/>
        <shadow val="0"/>
        <u val="none"/>
        <vertAlign val="baseline"/>
        <sz val="11"/>
        <color theme="1"/>
        <name val="Aptos Narrow"/>
        <family val="2"/>
        <scheme val="minor"/>
      </font>
      <numFmt numFmtId="164" formatCode="_-* #,##0_-;\-* #,##0_-;_-* &quot;-&quot;??_-;_-@_-"/>
    </dxf>
    <dxf>
      <font>
        <b val="0"/>
        <i val="0"/>
        <strike val="0"/>
        <condense val="0"/>
        <extend val="0"/>
        <outline val="0"/>
        <shadow val="0"/>
        <u val="none"/>
        <vertAlign val="baseline"/>
        <sz val="11"/>
        <color theme="1"/>
        <name val="Aptos Narrow"/>
        <family val="2"/>
        <scheme val="minor"/>
      </font>
      <numFmt numFmtId="164" formatCode="_-* #,##0_-;\-* #,##0_-;_-* &quot;-&quot;??_-;_-@_-"/>
    </dxf>
    <dxf>
      <font>
        <b val="0"/>
        <i val="0"/>
        <strike val="0"/>
        <condense val="0"/>
        <extend val="0"/>
        <outline val="0"/>
        <shadow val="0"/>
        <u val="none"/>
        <vertAlign val="baseline"/>
        <sz val="11"/>
        <color theme="1"/>
        <name val="Aptos Narrow"/>
        <family val="2"/>
        <scheme val="minor"/>
      </font>
      <numFmt numFmtId="164" formatCode="_-* #,##0_-;\-* #,##0_-;_-* &quot;-&quot;??_-;_-@_-"/>
    </dxf>
    <dxf>
      <font>
        <b val="0"/>
        <i val="0"/>
        <strike val="0"/>
        <condense val="0"/>
        <extend val="0"/>
        <outline val="0"/>
        <shadow val="0"/>
        <u val="none"/>
        <vertAlign val="baseline"/>
        <sz val="11"/>
        <color theme="1"/>
        <name val="Aptos Narrow"/>
        <family val="2"/>
        <scheme val="minor"/>
      </font>
      <numFmt numFmtId="164" formatCode="_-* #,##0_-;\-* #,##0_-;_-* &quot;-&quot;??_-;_-@_-"/>
    </dxf>
    <dxf>
      <font>
        <b val="0"/>
        <i val="0"/>
        <strike val="0"/>
        <condense val="0"/>
        <extend val="0"/>
        <outline val="0"/>
        <shadow val="0"/>
        <u val="none"/>
        <vertAlign val="baseline"/>
        <sz val="11"/>
        <color theme="1"/>
        <name val="Aptos Narrow"/>
        <family val="2"/>
        <scheme val="minor"/>
      </font>
      <numFmt numFmtId="164" formatCode="_-* #,##0_-;\-* #,##0_-;_-* &quot;-&quot;??_-;_-@_-"/>
    </dxf>
    <dxf>
      <font>
        <b val="0"/>
        <i val="0"/>
        <strike val="0"/>
        <condense val="0"/>
        <extend val="0"/>
        <outline val="0"/>
        <shadow val="0"/>
        <u val="none"/>
        <vertAlign val="baseline"/>
        <sz val="11"/>
        <color theme="1"/>
        <name val="Aptos Narrow"/>
        <family val="2"/>
        <scheme val="minor"/>
      </font>
      <numFmt numFmtId="164" formatCode="_-* #,##0_-;\-* #,##0_-;_-* &quot;-&quot;??_-;_-@_-"/>
    </dxf>
    <dxf>
      <font>
        <b val="0"/>
        <i val="0"/>
        <strike val="0"/>
        <condense val="0"/>
        <extend val="0"/>
        <outline val="0"/>
        <shadow val="0"/>
        <u val="none"/>
        <vertAlign val="baseline"/>
        <sz val="11"/>
        <color theme="1"/>
        <name val="Aptos Narrow"/>
        <family val="2"/>
        <scheme val="minor"/>
      </font>
      <numFmt numFmtId="164" formatCode="_-* #,##0_-;\-* #,##0_-;_-* &quot;-&quot;??_-;_-@_-"/>
    </dxf>
    <dxf>
      <font>
        <b val="0"/>
        <i val="0"/>
        <strike val="0"/>
        <condense val="0"/>
        <extend val="0"/>
        <outline val="0"/>
        <shadow val="0"/>
        <u val="none"/>
        <vertAlign val="baseline"/>
        <sz val="11"/>
        <color theme="1"/>
        <name val="Aptos Narrow"/>
        <family val="2"/>
        <scheme val="minor"/>
      </font>
      <numFmt numFmtId="164" formatCode="_-* #,##0_-;\-* #,##0_-;_-* &quot;-&quot;??_-;_-@_-"/>
    </dxf>
    <dxf>
      <font>
        <b val="0"/>
        <i val="0"/>
        <strike val="0"/>
        <condense val="0"/>
        <extend val="0"/>
        <outline val="0"/>
        <shadow val="0"/>
        <u val="none"/>
        <vertAlign val="baseline"/>
        <sz val="11"/>
        <color theme="1"/>
        <name val="Aptos Narrow"/>
        <family val="2"/>
        <scheme val="minor"/>
      </font>
      <numFmt numFmtId="164" formatCode="_-* #,##0_-;\-* #,##0_-;_-* &quot;-&quot;??_-;_-@_-"/>
    </dxf>
    <dxf>
      <font>
        <b/>
        <i/>
        <strike val="0"/>
        <condense val="0"/>
        <extend val="0"/>
        <outline val="0"/>
        <shadow val="0"/>
        <u val="none"/>
        <vertAlign val="baseline"/>
        <sz val="11"/>
        <color theme="1"/>
        <name val="Aptos Narrow"/>
        <family val="2"/>
        <scheme val="minor"/>
      </font>
      <numFmt numFmtId="164" formatCode="_-* #,##0_-;\-* #,##0_-;_-* &quot;-&quot;??_-;_-@_-"/>
      <border diagonalUp="0" diagonalDown="0" outline="0">
        <left style="thin">
          <color indexed="64"/>
        </left>
        <right style="thin">
          <color indexed="64"/>
        </right>
        <top/>
        <bottom/>
      </border>
    </dxf>
    <dxf>
      <font>
        <b/>
        <i val="0"/>
        <strike val="0"/>
        <condense val="0"/>
        <extend val="0"/>
        <outline val="0"/>
        <shadow val="0"/>
        <u val="none"/>
        <vertAlign val="baseline"/>
        <sz val="11"/>
        <color theme="2" tint="-0.499984740745262"/>
        <name val="Aptos Narrow"/>
        <family val="2"/>
        <scheme val="minor"/>
      </font>
      <numFmt numFmtId="164" formatCode="_-* #,##0_-;\-* #,##0_-;_-* &quot;-&quot;??_-;_-@_-"/>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Aptos Narrow"/>
        <family val="2"/>
        <scheme val="minor"/>
      </font>
      <numFmt numFmtId="164" formatCode="_-* #,##0_-;\-* #,##0_-;_-* &quot;-&quot;??_-;_-@_-"/>
      <alignment horizontal="center" vertical="center" textRotation="0" wrapText="0"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0" formatCode="General"/>
    </dxf>
    <dxf>
      <font>
        <b/>
        <i/>
        <strike val="0"/>
        <outline val="0"/>
        <shadow val="0"/>
        <u val="none"/>
        <vertAlign val="baseline"/>
        <sz val="11"/>
        <color theme="5" tint="0.39997558519241921"/>
        <name val="Aptos Narrow"/>
        <family val="2"/>
        <scheme val="minor"/>
      </font>
      <numFmt numFmtId="166" formatCode="0.0%"/>
    </dxf>
    <dxf>
      <font>
        <b/>
        <i/>
        <strike val="0"/>
        <condense val="0"/>
        <extend val="0"/>
        <outline val="0"/>
        <shadow val="0"/>
        <u val="none"/>
        <vertAlign val="baseline"/>
        <sz val="11"/>
        <color theme="5" tint="0.39997558519241921"/>
        <name val="Aptos Narrow"/>
        <family val="2"/>
        <scheme val="minor"/>
      </font>
      <numFmt numFmtId="166" formatCode="0.0%"/>
      <border diagonalUp="0" diagonalDown="0">
        <left/>
        <right style="thin">
          <color indexed="64"/>
        </right>
        <top/>
        <bottom/>
        <vertical/>
        <horizontal/>
      </border>
    </dxf>
    <dxf>
      <font>
        <b val="0"/>
        <i val="0"/>
        <strike val="0"/>
        <condense val="0"/>
        <extend val="0"/>
        <outline val="0"/>
        <shadow val="0"/>
        <u val="none"/>
        <vertAlign val="baseline"/>
        <sz val="11"/>
        <color theme="1"/>
        <name val="Aptos Narrow"/>
        <family val="2"/>
        <scheme val="minor"/>
      </font>
      <numFmt numFmtId="164" formatCode="_-* #,##0_-;\-* #,##0_-;_-* &quot;-&quot;??_-;_-@_-"/>
      <border diagonalUp="0" diagonalDown="0">
        <left style="thin">
          <color indexed="64"/>
        </left>
        <right style="thin">
          <color indexed="64"/>
        </right>
        <top/>
        <bottom/>
        <vertical/>
        <horizontal/>
      </border>
    </dxf>
    <dxf>
      <font>
        <b/>
        <i/>
        <strike val="0"/>
        <condense val="0"/>
        <extend val="0"/>
        <outline val="0"/>
        <shadow val="0"/>
        <u val="none"/>
        <vertAlign val="baseline"/>
        <sz val="11"/>
        <color theme="5" tint="0.39997558519241921"/>
        <name val="Aptos Narrow"/>
        <family val="2"/>
        <scheme val="minor"/>
      </font>
      <numFmt numFmtId="166" formatCode="0.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Aptos Narrow"/>
        <family val="2"/>
        <scheme val="minor"/>
      </font>
      <numFmt numFmtId="164" formatCode="_-* #,##0_-;\-* #,##0_-;_-* &quot;-&quot;??_-;_-@_-"/>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Aptos Narrow"/>
        <family val="2"/>
        <scheme val="minor"/>
      </font>
      <numFmt numFmtId="164" formatCode="_-* #,##0_-;\-* #,##0_-;_-* &quot;-&quot;??_-;_-@_-"/>
      <border diagonalUp="0" diagonalDown="0">
        <left style="thin">
          <color indexed="64"/>
        </left>
        <right style="thin">
          <color indexed="64"/>
        </right>
        <top/>
        <bottom/>
        <vertical/>
        <horizontal/>
      </border>
    </dxf>
    <dxf>
      <font>
        <b/>
        <i/>
        <strike val="0"/>
        <condense val="0"/>
        <extend val="0"/>
        <outline val="0"/>
        <shadow val="0"/>
        <u val="none"/>
        <vertAlign val="baseline"/>
        <sz val="11"/>
        <color theme="1"/>
        <name val="Aptos Narrow"/>
        <family val="2"/>
        <scheme val="minor"/>
      </font>
      <numFmt numFmtId="164" formatCode="_-* #,##0_-;\-* #,##0_-;_-* &quot;-&quot;??_-;_-@_-"/>
      <border diagonalUp="0" diagonalDown="0">
        <left style="thin">
          <color indexed="64"/>
        </left>
        <right style="thin">
          <color indexed="64"/>
        </right>
        <top/>
        <bottom/>
        <vertical/>
        <horizontal/>
      </border>
    </dxf>
    <dxf>
      <font>
        <b/>
        <i val="0"/>
        <strike val="0"/>
        <condense val="0"/>
        <extend val="0"/>
        <outline val="0"/>
        <shadow val="0"/>
        <u val="none"/>
        <vertAlign val="baseline"/>
        <sz val="11"/>
        <color theme="2" tint="-0.499984740745262"/>
        <name val="Aptos Narrow"/>
        <family val="2"/>
        <scheme val="minor"/>
      </font>
      <numFmt numFmtId="164" formatCode="_-* #,##0_-;\-* #,##0_-;_-* &quot;-&quot;??_-;_-@_-"/>
      <alignment horizontal="center"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Aptos Narrow"/>
        <family val="2"/>
        <scheme val="minor"/>
      </font>
      <numFmt numFmtId="164" formatCode="_-* #,##0_-;\-* #,##0_-;_-* &quot;-&quot;??_-;_-@_-"/>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strike val="0"/>
        <condense val="0"/>
        <extend val="0"/>
        <outline val="0"/>
        <shadow val="0"/>
        <u val="none"/>
        <vertAlign val="baseline"/>
        <sz val="11"/>
        <color theme="0"/>
        <name val="Aptos Narrow"/>
        <family val="2"/>
        <scheme val="minor"/>
      </font>
      <fill>
        <patternFill patternType="solid">
          <fgColor indexed="64"/>
          <bgColor rgb="FFFF000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4" formatCode="_-* #,##0_-;\-* #,##0_-;_-* &quot;-&quot;??_-;_-@_-"/>
    </dxf>
    <dxf>
      <font>
        <b val="0"/>
        <i val="0"/>
        <strike val="0"/>
        <condense val="0"/>
        <extend val="0"/>
        <outline val="0"/>
        <shadow val="0"/>
        <u val="none"/>
        <vertAlign val="baseline"/>
        <sz val="11"/>
        <color theme="1"/>
        <name val="Aptos Narrow"/>
        <family val="2"/>
        <scheme val="minor"/>
      </font>
      <numFmt numFmtId="164" formatCode="_-* #,##0_-;\-* #,##0_-;_-* &quot;-&quot;??_-;_-@_-"/>
      <border diagonalUp="0" diagonalDown="0">
        <left/>
        <right style="thin">
          <color indexed="64"/>
        </right>
        <top/>
        <bottom/>
        <vertical/>
        <horizontal/>
      </border>
    </dxf>
    <dxf>
      <font>
        <b val="0"/>
        <i val="0"/>
        <strike val="0"/>
        <condense val="0"/>
        <extend val="0"/>
        <outline val="0"/>
        <shadow val="0"/>
        <u val="none"/>
        <vertAlign val="baseline"/>
        <sz val="11"/>
        <color theme="1"/>
        <name val="Aptos Narrow"/>
        <family val="2"/>
        <scheme val="minor"/>
      </font>
      <numFmt numFmtId="164" formatCode="_-* #,##0_-;\-* #,##0_-;_-* &quot;-&quot;??_-;_-@_-"/>
    </dxf>
    <dxf>
      <font>
        <b val="0"/>
        <i val="0"/>
        <strike val="0"/>
        <condense val="0"/>
        <extend val="0"/>
        <outline val="0"/>
        <shadow val="0"/>
        <u val="none"/>
        <vertAlign val="baseline"/>
        <sz val="11"/>
        <color theme="1"/>
        <name val="Aptos Narrow"/>
        <family val="2"/>
        <scheme val="minor"/>
      </font>
      <numFmt numFmtId="164" formatCode="_-* #,##0_-;\-* #,##0_-;_-* &quot;-&quot;??_-;_-@_-"/>
      <border diagonalUp="0" diagonalDown="0">
        <left/>
        <right style="thin">
          <color indexed="64"/>
        </right>
        <top/>
        <bottom/>
        <vertical/>
        <horizontal/>
      </border>
    </dxf>
    <dxf>
      <font>
        <b val="0"/>
        <i val="0"/>
        <strike val="0"/>
        <condense val="0"/>
        <extend val="0"/>
        <outline val="0"/>
        <shadow val="0"/>
        <u val="none"/>
        <vertAlign val="baseline"/>
        <sz val="11"/>
        <color theme="1"/>
        <name val="Aptos Narrow"/>
        <family val="2"/>
        <scheme val="minor"/>
      </font>
      <numFmt numFmtId="164" formatCode="_-* #,##0_-;\-* #,##0_-;_-* &quot;-&quot;??_-;_-@_-"/>
      <border diagonalUp="0" diagonalDown="0">
        <left/>
        <right style="thin">
          <color indexed="64"/>
        </right>
        <top/>
        <bottom/>
        <vertical/>
        <horizontal/>
      </border>
    </dxf>
    <dxf>
      <font>
        <b/>
        <i/>
        <strike val="0"/>
        <condense val="0"/>
        <extend val="0"/>
        <outline val="0"/>
        <shadow val="0"/>
        <u val="none"/>
        <vertAlign val="baseline"/>
        <sz val="11"/>
        <color theme="1"/>
        <name val="Aptos Narrow"/>
        <family val="2"/>
        <scheme val="minor"/>
      </font>
      <numFmt numFmtId="164" formatCode="_-* #,##0_-;\-* #,##0_-;_-* &quot;-&quot;??_-;_-@_-"/>
      <border diagonalUp="0" diagonalDown="0">
        <left style="thin">
          <color indexed="64"/>
        </left>
        <right style="thin">
          <color indexed="64"/>
        </right>
        <top/>
        <bottom/>
        <vertical/>
        <horizontal/>
      </border>
    </dxf>
    <dxf>
      <font>
        <b/>
        <i val="0"/>
        <strike val="0"/>
        <condense val="0"/>
        <extend val="0"/>
        <outline val="0"/>
        <shadow val="0"/>
        <u val="none"/>
        <vertAlign val="baseline"/>
        <sz val="11"/>
        <color theme="2" tint="-0.499984740745262"/>
        <name val="Aptos Narrow"/>
        <family val="2"/>
        <scheme val="minor"/>
      </font>
      <numFmt numFmtId="164" formatCode="_-* #,##0_-;\-* #,##0_-;_-* &quot;-&quot;??_-;_-@_-"/>
      <alignment horizontal="center"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Aptos Narrow"/>
        <family val="2"/>
        <scheme val="minor"/>
      </font>
      <numFmt numFmtId="164" formatCode="_-* #,##0_-;\-* #,##0_-;_-* &quot;-&quot;??_-;_-@_-"/>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right style="thin">
          <color indexed="64"/>
        </right>
        <bottom style="thin">
          <color indexed="64"/>
        </bottom>
      </border>
    </dxf>
    <dxf>
      <font>
        <b/>
        <i val="0"/>
        <strike val="0"/>
        <condense val="0"/>
        <extend val="0"/>
        <outline val="0"/>
        <shadow val="0"/>
        <u val="none"/>
        <vertAlign val="baseline"/>
        <sz val="11"/>
        <color theme="0"/>
        <name val="Aptos Narrow"/>
        <family val="2"/>
        <scheme val="minor"/>
      </font>
      <fill>
        <patternFill patternType="solid">
          <fgColor indexed="64"/>
          <bgColor theme="7" tint="-0.499984740745262"/>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4" formatCode="_-* #,##0_-;\-* #,##0_-;_-* &quot;-&quot;??_-;_-@_-"/>
      <border diagonalUp="0" diagonalDown="0">
        <left/>
        <right style="thin">
          <color indexed="64"/>
        </right>
        <vertical/>
      </border>
    </dxf>
    <dxf>
      <font>
        <b val="0"/>
        <i val="0"/>
        <strike val="0"/>
        <condense val="0"/>
        <extend val="0"/>
        <outline val="0"/>
        <shadow val="0"/>
        <u val="none"/>
        <vertAlign val="baseline"/>
        <sz val="11"/>
        <color theme="1"/>
        <name val="Aptos Narrow"/>
        <family val="2"/>
        <scheme val="minor"/>
      </font>
      <numFmt numFmtId="164" formatCode="_-* #,##0_-;\-* #,##0_-;_-* &quot;-&quot;??_-;_-@_-"/>
    </dxf>
    <dxf>
      <font>
        <b val="0"/>
        <i val="0"/>
        <strike val="0"/>
        <condense val="0"/>
        <extend val="0"/>
        <outline val="0"/>
        <shadow val="0"/>
        <u val="none"/>
        <vertAlign val="baseline"/>
        <sz val="11"/>
        <color theme="1"/>
        <name val="Aptos Narrow"/>
        <family val="2"/>
        <scheme val="minor"/>
      </font>
      <numFmt numFmtId="164" formatCode="_-* #,##0_-;\-* #,##0_-;_-* &quot;-&quot;??_-;_-@_-"/>
    </dxf>
    <dxf>
      <font>
        <b val="0"/>
        <i val="0"/>
        <strike val="0"/>
        <condense val="0"/>
        <extend val="0"/>
        <outline val="0"/>
        <shadow val="0"/>
        <u val="none"/>
        <vertAlign val="baseline"/>
        <sz val="11"/>
        <color theme="1"/>
        <name val="Aptos Narrow"/>
        <family val="2"/>
        <scheme val="minor"/>
      </font>
      <numFmt numFmtId="164" formatCode="_-* #,##0_-;\-* #,##0_-;_-* &quot;-&quot;??_-;_-@_-"/>
    </dxf>
    <dxf>
      <font>
        <b val="0"/>
        <i val="0"/>
        <strike val="0"/>
        <condense val="0"/>
        <extend val="0"/>
        <outline val="0"/>
        <shadow val="0"/>
        <u val="none"/>
        <vertAlign val="baseline"/>
        <sz val="11"/>
        <color theme="1"/>
        <name val="Aptos Narrow"/>
        <family val="2"/>
        <scheme val="minor"/>
      </font>
      <numFmt numFmtId="164" formatCode="_-* #,##0_-;\-* #,##0_-;_-* &quot;-&quot;??_-;_-@_-"/>
      <border diagonalUp="0" diagonalDown="0">
        <left/>
        <right style="thin">
          <color indexed="64"/>
        </right>
        <top/>
        <bottom/>
        <vertical/>
        <horizontal/>
      </border>
    </dxf>
    <dxf>
      <font>
        <b val="0"/>
        <i val="0"/>
        <strike val="0"/>
        <condense val="0"/>
        <extend val="0"/>
        <outline val="0"/>
        <shadow val="0"/>
        <u val="none"/>
        <vertAlign val="baseline"/>
        <sz val="11"/>
        <color theme="1"/>
        <name val="Aptos Narrow"/>
        <family val="2"/>
        <scheme val="minor"/>
      </font>
      <numFmt numFmtId="164" formatCode="_-* #,##0_-;\-* #,##0_-;_-* &quot;-&quot;??_-;_-@_-"/>
    </dxf>
    <dxf>
      <font>
        <b val="0"/>
        <i val="0"/>
        <strike val="0"/>
        <condense val="0"/>
        <extend val="0"/>
        <outline val="0"/>
        <shadow val="0"/>
        <u val="none"/>
        <vertAlign val="baseline"/>
        <sz val="11"/>
        <color theme="1"/>
        <name val="Aptos Narrow"/>
        <family val="2"/>
        <scheme val="minor"/>
      </font>
      <numFmt numFmtId="164" formatCode="_-* #,##0_-;\-* #,##0_-;_-* &quot;-&quot;??_-;_-@_-"/>
    </dxf>
    <dxf>
      <font>
        <b val="0"/>
        <i val="0"/>
        <strike val="0"/>
        <condense val="0"/>
        <extend val="0"/>
        <outline val="0"/>
        <shadow val="0"/>
        <u val="none"/>
        <vertAlign val="baseline"/>
        <sz val="11"/>
        <color theme="1"/>
        <name val="Aptos Narrow"/>
        <family val="2"/>
        <scheme val="minor"/>
      </font>
      <numFmt numFmtId="164" formatCode="_-* #,##0_-;\-* #,##0_-;_-* &quot;-&quot;??_-;_-@_-"/>
    </dxf>
    <dxf>
      <font>
        <b val="0"/>
        <i val="0"/>
        <strike val="0"/>
        <condense val="0"/>
        <extend val="0"/>
        <outline val="0"/>
        <shadow val="0"/>
        <u val="none"/>
        <vertAlign val="baseline"/>
        <sz val="11"/>
        <color theme="1"/>
        <name val="Aptos Narrow"/>
        <family val="2"/>
        <scheme val="minor"/>
      </font>
      <numFmt numFmtId="164" formatCode="_-* #,##0_-;\-* #,##0_-;_-* &quot;-&quot;??_-;_-@_-"/>
      <border diagonalUp="0" diagonalDown="0">
        <left/>
        <right style="thin">
          <color indexed="64"/>
        </right>
        <top/>
        <bottom/>
        <vertical/>
        <horizontal/>
      </border>
    </dxf>
    <dxf>
      <font>
        <b val="0"/>
        <i val="0"/>
        <strike val="0"/>
        <condense val="0"/>
        <extend val="0"/>
        <outline val="0"/>
        <shadow val="0"/>
        <u val="none"/>
        <vertAlign val="baseline"/>
        <sz val="11"/>
        <color theme="1"/>
        <name val="Aptos Narrow"/>
        <family val="2"/>
        <scheme val="minor"/>
      </font>
      <numFmt numFmtId="164" formatCode="_-* #,##0_-;\-* #,##0_-;_-* &quot;-&quot;??_-;_-@_-"/>
    </dxf>
    <dxf>
      <font>
        <b val="0"/>
        <i val="0"/>
        <strike val="0"/>
        <condense val="0"/>
        <extend val="0"/>
        <outline val="0"/>
        <shadow val="0"/>
        <u val="none"/>
        <vertAlign val="baseline"/>
        <sz val="11"/>
        <color theme="1"/>
        <name val="Aptos Narrow"/>
        <family val="2"/>
        <scheme val="minor"/>
      </font>
      <numFmt numFmtId="164" formatCode="_-* #,##0_-;\-* #,##0_-;_-* &quot;-&quot;??_-;_-@_-"/>
    </dxf>
    <dxf>
      <font>
        <b val="0"/>
        <i val="0"/>
        <strike val="0"/>
        <condense val="0"/>
        <extend val="0"/>
        <outline val="0"/>
        <shadow val="0"/>
        <u val="none"/>
        <vertAlign val="baseline"/>
        <sz val="11"/>
        <color theme="1"/>
        <name val="Aptos Narrow"/>
        <family val="2"/>
        <scheme val="minor"/>
      </font>
      <numFmt numFmtId="164" formatCode="_-* #,##0_-;\-* #,##0_-;_-* &quot;-&quot;??_-;_-@_-"/>
      <border diagonalUp="0" diagonalDown="0">
        <left style="thin">
          <color indexed="64"/>
        </left>
        <right/>
        <top/>
        <bottom/>
        <vertical/>
        <horizontal/>
      </border>
    </dxf>
    <dxf>
      <font>
        <b val="0"/>
        <i val="0"/>
        <strike val="0"/>
        <condense val="0"/>
        <extend val="0"/>
        <outline val="0"/>
        <shadow val="0"/>
        <u val="none"/>
        <vertAlign val="baseline"/>
        <sz val="11"/>
        <color theme="1"/>
        <name val="Aptos Narrow"/>
        <family val="2"/>
        <scheme val="minor"/>
      </font>
      <numFmt numFmtId="164" formatCode="_-* #,##0_-;\-* #,##0_-;_-* &quot;-&quot;??_-;_-@_-"/>
    </dxf>
    <dxf>
      <font>
        <b val="0"/>
        <i val="0"/>
        <strike val="0"/>
        <condense val="0"/>
        <extend val="0"/>
        <outline val="0"/>
        <shadow val="0"/>
        <u val="none"/>
        <vertAlign val="baseline"/>
        <sz val="11"/>
        <color theme="1"/>
        <name val="Aptos Narrow"/>
        <family val="2"/>
        <scheme val="minor"/>
      </font>
      <numFmt numFmtId="164" formatCode="_-* #,##0_-;\-* #,##0_-;_-* &quot;-&quot;??_-;_-@_-"/>
    </dxf>
    <dxf>
      <font>
        <b/>
        <i/>
        <strike val="0"/>
        <condense val="0"/>
        <extend val="0"/>
        <outline val="0"/>
        <shadow val="0"/>
        <u val="none"/>
        <vertAlign val="baseline"/>
        <sz val="11"/>
        <color theme="1"/>
        <name val="Aptos Narrow"/>
        <family val="2"/>
        <scheme val="minor"/>
      </font>
      <numFmt numFmtId="164" formatCode="_-* #,##0_-;\-* #,##0_-;_-* &quot;-&quot;??_-;_-@_-"/>
      <border diagonalUp="0" diagonalDown="0">
        <left style="thin">
          <color indexed="64"/>
        </left>
        <right style="thin">
          <color indexed="64"/>
        </right>
        <top/>
        <bottom/>
        <vertical/>
        <horizontal/>
      </border>
    </dxf>
    <dxf>
      <font>
        <b/>
        <i val="0"/>
        <strike val="0"/>
        <condense val="0"/>
        <extend val="0"/>
        <outline val="0"/>
        <shadow val="0"/>
        <u val="none"/>
        <vertAlign val="baseline"/>
        <sz val="11"/>
        <color theme="2" tint="-0.499984740745262"/>
        <name val="Aptos Narrow"/>
        <family val="2"/>
        <scheme val="minor"/>
      </font>
      <numFmt numFmtId="164" formatCode="_-* #,##0_-;\-* #,##0_-;_-* &quot;-&quot;??_-;_-@_-"/>
      <alignment horizontal="center"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Aptos Narrow"/>
        <family val="2"/>
        <scheme val="minor"/>
      </font>
      <numFmt numFmtId="164" formatCode="_-* #,##0_-;\-* #,##0_-;_-* &quot;-&quot;??_-;_-@_-"/>
      <alignment horizontal="center" vertical="center" textRotation="0" wrapText="0" indent="0" justifyLastLine="0" shrinkToFit="0" readingOrder="0"/>
      <border diagonalUp="0" diagonalDown="0">
        <left style="thin">
          <color indexed="64"/>
        </left>
        <right style="thin">
          <color indexed="64"/>
        </right>
        <top/>
        <bottom/>
        <vertical/>
        <horizontal/>
      </border>
    </dxf>
    <dxf>
      <border outline="0">
        <bottom style="thin">
          <color indexed="64"/>
        </bottom>
      </border>
    </dxf>
    <dxf>
      <font>
        <b val="0"/>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0"/>
        <name val="Aptos Narrow"/>
        <family val="2"/>
        <scheme val="minor"/>
      </font>
      <fill>
        <patternFill patternType="solid">
          <fgColor indexed="64"/>
          <bgColor theme="7" tint="-0.499984740745262"/>
        </patternFill>
      </fill>
      <alignment horizontal="center" vertical="bottom" textRotation="0" wrapText="0" indent="0" justifyLastLine="0" shrinkToFit="0" readingOrder="0"/>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DOHA BELEGCHOUR" refreshedDate="46175.669167939814" createdVersion="8" refreshedVersion="8" minRefreshableVersion="3" recordCount="2415" xr:uid="{377D5E12-5400-4903-8CD7-365D9BD41E11}">
  <cacheSource type="worksheet">
    <worksheetSource name="Base_Finale"/>
  </cacheSource>
  <cacheFields count="7">
    <cacheField name="Société" numFmtId="0">
      <sharedItems count="41">
        <s v="ATLANTASANAD"/>
        <s v="WAFA ASSURANCE "/>
        <s v="ATTIJARIWAFA BANK"/>
        <s v="BANK OF AFRICA"/>
        <s v="BCP"/>
        <s v="BMCI"/>
        <s v="CDM"/>
        <s v="CFG BANK"/>
        <s v="CIH "/>
        <s v="EQDOM"/>
        <s v="SALAFIN"/>
        <s v="Cash Plus"/>
        <s v="COSUMAR"/>
        <s v="LESIEUR CRISTAL"/>
        <s v="MUTANDIS"/>
        <s v="SOCIETE DES BOISSONS DU MAROC"/>
        <s v="JET CONTRACTORS"/>
        <s v="LAFARGEHOLCIM MAROC"/>
        <s v="SONASID"/>
        <s v="TGCC S.A"/>
        <s v="SGTM"/>
        <s v="LABEL VIE"/>
        <s v="TAQA MOROCCO"/>
        <s v="AFRIQUIA GAZ"/>
        <s v="TOTALENERGIES "/>
        <s v="DELTA HOLDING"/>
        <s v="RISMA"/>
        <s v="CMGP GROUP"/>
        <s v="SODEP-Marsa Maroc"/>
        <s v="HPS"/>
        <s v="MANAGEM"/>
        <s v="MINIERIE TOUISSIT"/>
        <s v="SMI"/>
        <s v="ITISSALAT AL-MAGHRIB"/>
        <s v="ALLIANCES"/>
        <s v="DOUJA PROM ADDOHA"/>
        <s v="RESIDENCES DAR SAADA"/>
        <s v="AKDITAL "/>
        <s v="VICENNE"/>
        <s v="SOTHEMA"/>
        <s v="ARADEI CAPITAL"/>
      </sharedItems>
    </cacheField>
    <cacheField name="Ticker" numFmtId="0">
      <sharedItems/>
    </cacheField>
    <cacheField name="TypeValeur" numFmtId="0">
      <sharedItems count="3">
        <s v="CA"/>
        <s v="Capex "/>
        <s v="Endettement"/>
      </sharedItems>
    </cacheField>
    <cacheField name="Année" numFmtId="0">
      <sharedItems containsSemiMixedTypes="0" containsString="0" containsNumber="1" containsInteger="1" minValue="2022" maxValue="2025" count="4">
        <n v="2022"/>
        <n v="2023"/>
        <n v="2024"/>
        <n v="2025"/>
      </sharedItems>
    </cacheField>
    <cacheField name="Période" numFmtId="0">
      <sharedItems count="7">
        <s v="T1"/>
        <s v="T2"/>
        <s v="T3"/>
        <s v="T4"/>
        <s v="S1"/>
        <s v="S2"/>
        <s v="Annuel"/>
      </sharedItems>
    </cacheField>
    <cacheField name="Valeur" numFmtId="0">
      <sharedItems containsSemiMixedTypes="0" containsString="0" containsNumber="1" containsInteger="1" minValue="-1659" maxValue="36785"/>
    </cacheField>
    <cacheField name="TypePériode" numFmtId="0">
      <sharedItems count="3">
        <s v="Trimestriel"/>
        <s v="Semestriel"/>
        <s v="Annuel"/>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15">
  <r>
    <x v="0"/>
    <s v="ATL"/>
    <x v="0"/>
    <x v="0"/>
    <x v="0"/>
    <n v="1960"/>
    <x v="0"/>
  </r>
  <r>
    <x v="0"/>
    <s v="ATL"/>
    <x v="0"/>
    <x v="0"/>
    <x v="1"/>
    <n v="1122"/>
    <x v="0"/>
  </r>
  <r>
    <x v="0"/>
    <s v="ATL"/>
    <x v="0"/>
    <x v="0"/>
    <x v="2"/>
    <n v="1063"/>
    <x v="0"/>
  </r>
  <r>
    <x v="0"/>
    <s v="ATL"/>
    <x v="0"/>
    <x v="0"/>
    <x v="3"/>
    <n v="1258"/>
    <x v="0"/>
  </r>
  <r>
    <x v="0"/>
    <s v="ATL"/>
    <x v="0"/>
    <x v="1"/>
    <x v="0"/>
    <n v="1893"/>
    <x v="0"/>
  </r>
  <r>
    <x v="0"/>
    <s v="ATL"/>
    <x v="0"/>
    <x v="1"/>
    <x v="1"/>
    <n v="1192"/>
    <x v="0"/>
  </r>
  <r>
    <x v="0"/>
    <s v="ATL"/>
    <x v="0"/>
    <x v="1"/>
    <x v="2"/>
    <n v="906"/>
    <x v="0"/>
  </r>
  <r>
    <x v="0"/>
    <s v="ATL"/>
    <x v="0"/>
    <x v="1"/>
    <x v="3"/>
    <n v="1121"/>
    <x v="0"/>
  </r>
  <r>
    <x v="0"/>
    <s v="ATL"/>
    <x v="0"/>
    <x v="2"/>
    <x v="0"/>
    <n v="1962"/>
    <x v="0"/>
  </r>
  <r>
    <x v="0"/>
    <s v="ATL"/>
    <x v="0"/>
    <x v="2"/>
    <x v="1"/>
    <n v="1134"/>
    <x v="0"/>
  </r>
  <r>
    <x v="0"/>
    <s v="ATL"/>
    <x v="0"/>
    <x v="2"/>
    <x v="2"/>
    <n v="855"/>
    <x v="0"/>
  </r>
  <r>
    <x v="0"/>
    <s v="ATL"/>
    <x v="0"/>
    <x v="2"/>
    <x v="3"/>
    <n v="1309"/>
    <x v="0"/>
  </r>
  <r>
    <x v="0"/>
    <s v="ATL"/>
    <x v="0"/>
    <x v="3"/>
    <x v="0"/>
    <n v="2287"/>
    <x v="0"/>
  </r>
  <r>
    <x v="0"/>
    <s v="ATL"/>
    <x v="0"/>
    <x v="3"/>
    <x v="1"/>
    <n v="1376"/>
    <x v="0"/>
  </r>
  <r>
    <x v="0"/>
    <s v="ATL"/>
    <x v="0"/>
    <x v="3"/>
    <x v="2"/>
    <n v="876"/>
    <x v="0"/>
  </r>
  <r>
    <x v="0"/>
    <s v="ATL"/>
    <x v="0"/>
    <x v="3"/>
    <x v="3"/>
    <n v="1511"/>
    <x v="0"/>
  </r>
  <r>
    <x v="1"/>
    <s v="WAA"/>
    <x v="0"/>
    <x v="0"/>
    <x v="0"/>
    <n v="3117"/>
    <x v="0"/>
  </r>
  <r>
    <x v="1"/>
    <s v="WAA"/>
    <x v="0"/>
    <x v="0"/>
    <x v="1"/>
    <n v="2776"/>
    <x v="0"/>
  </r>
  <r>
    <x v="1"/>
    <s v="WAA"/>
    <x v="0"/>
    <x v="0"/>
    <x v="2"/>
    <n v="2560"/>
    <x v="0"/>
  </r>
  <r>
    <x v="1"/>
    <s v="WAA"/>
    <x v="0"/>
    <x v="0"/>
    <x v="3"/>
    <n v="3185"/>
    <x v="0"/>
  </r>
  <r>
    <x v="1"/>
    <s v="WAA"/>
    <x v="0"/>
    <x v="1"/>
    <x v="0"/>
    <n v="3605"/>
    <x v="0"/>
  </r>
  <r>
    <x v="1"/>
    <s v="WAA"/>
    <x v="0"/>
    <x v="1"/>
    <x v="1"/>
    <n v="2928"/>
    <x v="0"/>
  </r>
  <r>
    <x v="1"/>
    <s v="WAA"/>
    <x v="0"/>
    <x v="1"/>
    <x v="2"/>
    <n v="3119"/>
    <x v="0"/>
  </r>
  <r>
    <x v="1"/>
    <s v="WAA"/>
    <x v="0"/>
    <x v="1"/>
    <x v="3"/>
    <n v="3072"/>
    <x v="0"/>
  </r>
  <r>
    <x v="1"/>
    <s v="WAA"/>
    <x v="0"/>
    <x v="2"/>
    <x v="0"/>
    <n v="4073"/>
    <x v="0"/>
  </r>
  <r>
    <x v="1"/>
    <s v="WAA"/>
    <x v="0"/>
    <x v="2"/>
    <x v="1"/>
    <n v="3027"/>
    <x v="0"/>
  </r>
  <r>
    <x v="1"/>
    <s v="WAA"/>
    <x v="0"/>
    <x v="2"/>
    <x v="2"/>
    <n v="2809"/>
    <x v="0"/>
  </r>
  <r>
    <x v="1"/>
    <s v="WAA"/>
    <x v="0"/>
    <x v="2"/>
    <x v="3"/>
    <n v="3158"/>
    <x v="0"/>
  </r>
  <r>
    <x v="1"/>
    <s v="WAA"/>
    <x v="0"/>
    <x v="3"/>
    <x v="0"/>
    <n v="4352"/>
    <x v="0"/>
  </r>
  <r>
    <x v="1"/>
    <s v="WAA"/>
    <x v="0"/>
    <x v="3"/>
    <x v="1"/>
    <n v="3530"/>
    <x v="0"/>
  </r>
  <r>
    <x v="1"/>
    <s v="WAA"/>
    <x v="0"/>
    <x v="3"/>
    <x v="2"/>
    <n v="3037"/>
    <x v="0"/>
  </r>
  <r>
    <x v="1"/>
    <s v="WAA"/>
    <x v="0"/>
    <x v="3"/>
    <x v="3"/>
    <n v="4307"/>
    <x v="0"/>
  </r>
  <r>
    <x v="2"/>
    <s v="ATW"/>
    <x v="0"/>
    <x v="0"/>
    <x v="0"/>
    <n v="6600"/>
    <x v="0"/>
  </r>
  <r>
    <x v="2"/>
    <s v="ATW"/>
    <x v="0"/>
    <x v="0"/>
    <x v="1"/>
    <n v="6500"/>
    <x v="0"/>
  </r>
  <r>
    <x v="2"/>
    <s v="ATW"/>
    <x v="0"/>
    <x v="0"/>
    <x v="2"/>
    <n v="6600"/>
    <x v="0"/>
  </r>
  <r>
    <x v="2"/>
    <s v="ATW"/>
    <x v="0"/>
    <x v="0"/>
    <x v="3"/>
    <n v="6613"/>
    <x v="0"/>
  </r>
  <r>
    <x v="2"/>
    <s v="ATW"/>
    <x v="0"/>
    <x v="1"/>
    <x v="0"/>
    <n v="6861"/>
    <x v="0"/>
  </r>
  <r>
    <x v="2"/>
    <s v="ATW"/>
    <x v="0"/>
    <x v="1"/>
    <x v="1"/>
    <n v="7743"/>
    <x v="0"/>
  </r>
  <r>
    <x v="2"/>
    <s v="ATW"/>
    <x v="0"/>
    <x v="1"/>
    <x v="2"/>
    <n v="7683"/>
    <x v="0"/>
  </r>
  <r>
    <x v="2"/>
    <s v="ATW"/>
    <x v="0"/>
    <x v="1"/>
    <x v="3"/>
    <n v="7656"/>
    <x v="0"/>
  </r>
  <r>
    <x v="2"/>
    <s v="ATW"/>
    <x v="0"/>
    <x v="2"/>
    <x v="0"/>
    <n v="8520"/>
    <x v="0"/>
  </r>
  <r>
    <x v="2"/>
    <s v="ATW"/>
    <x v="0"/>
    <x v="2"/>
    <x v="1"/>
    <n v="8503"/>
    <x v="0"/>
  </r>
  <r>
    <x v="2"/>
    <s v="ATW"/>
    <x v="0"/>
    <x v="2"/>
    <x v="2"/>
    <n v="8150"/>
    <x v="0"/>
  </r>
  <r>
    <x v="2"/>
    <s v="ATW"/>
    <x v="0"/>
    <x v="2"/>
    <x v="3"/>
    <n v="9334"/>
    <x v="0"/>
  </r>
  <r>
    <x v="2"/>
    <s v="ATW"/>
    <x v="0"/>
    <x v="3"/>
    <x v="0"/>
    <n v="9024"/>
    <x v="0"/>
  </r>
  <r>
    <x v="2"/>
    <s v="ATW"/>
    <x v="0"/>
    <x v="3"/>
    <x v="1"/>
    <n v="8672"/>
    <x v="0"/>
  </r>
  <r>
    <x v="2"/>
    <s v="ATW"/>
    <x v="0"/>
    <x v="3"/>
    <x v="2"/>
    <n v="8658"/>
    <x v="0"/>
  </r>
  <r>
    <x v="2"/>
    <s v="ATW"/>
    <x v="0"/>
    <x v="3"/>
    <x v="3"/>
    <n v="8567"/>
    <x v="0"/>
  </r>
  <r>
    <x v="3"/>
    <s v="BOA"/>
    <x v="0"/>
    <x v="0"/>
    <x v="0"/>
    <n v="3630"/>
    <x v="0"/>
  </r>
  <r>
    <x v="3"/>
    <s v="BOA"/>
    <x v="0"/>
    <x v="0"/>
    <x v="1"/>
    <n v="4070"/>
    <x v="0"/>
  </r>
  <r>
    <x v="3"/>
    <s v="BOA"/>
    <x v="0"/>
    <x v="0"/>
    <x v="2"/>
    <n v="3655"/>
    <x v="0"/>
  </r>
  <r>
    <x v="3"/>
    <s v="BOA"/>
    <x v="0"/>
    <x v="0"/>
    <x v="3"/>
    <n v="4271"/>
    <x v="0"/>
  </r>
  <r>
    <x v="3"/>
    <s v="BOA"/>
    <x v="0"/>
    <x v="1"/>
    <x v="0"/>
    <n v="3834"/>
    <x v="0"/>
  </r>
  <r>
    <x v="3"/>
    <s v="BOA"/>
    <x v="0"/>
    <x v="1"/>
    <x v="1"/>
    <n v="4571"/>
    <x v="0"/>
  </r>
  <r>
    <x v="3"/>
    <s v="BOA"/>
    <x v="0"/>
    <x v="1"/>
    <x v="2"/>
    <n v="4194"/>
    <x v="0"/>
  </r>
  <r>
    <x v="3"/>
    <s v="BOA"/>
    <x v="0"/>
    <x v="1"/>
    <x v="3"/>
    <n v="4343"/>
    <x v="0"/>
  </r>
  <r>
    <x v="3"/>
    <s v="BOA"/>
    <x v="0"/>
    <x v="2"/>
    <x v="0"/>
    <n v="4500"/>
    <x v="0"/>
  </r>
  <r>
    <x v="3"/>
    <s v="BOA"/>
    <x v="0"/>
    <x v="2"/>
    <x v="1"/>
    <n v="5120"/>
    <x v="0"/>
  </r>
  <r>
    <x v="3"/>
    <s v="BOA"/>
    <x v="0"/>
    <x v="2"/>
    <x v="2"/>
    <n v="4480"/>
    <x v="0"/>
  </r>
  <r>
    <x v="3"/>
    <s v="BOA"/>
    <x v="0"/>
    <x v="2"/>
    <x v="3"/>
    <n v="4522"/>
    <x v="0"/>
  </r>
  <r>
    <x v="3"/>
    <s v="BOA"/>
    <x v="0"/>
    <x v="3"/>
    <x v="0"/>
    <n v="4968"/>
    <x v="0"/>
  </r>
  <r>
    <x v="3"/>
    <s v="BOA"/>
    <x v="0"/>
    <x v="3"/>
    <x v="1"/>
    <n v="5519"/>
    <x v="0"/>
  </r>
  <r>
    <x v="3"/>
    <s v="BOA"/>
    <x v="0"/>
    <x v="3"/>
    <x v="2"/>
    <n v="4792"/>
    <x v="0"/>
  </r>
  <r>
    <x v="3"/>
    <s v="BOA"/>
    <x v="0"/>
    <x v="3"/>
    <x v="3"/>
    <n v="5069"/>
    <x v="0"/>
  </r>
  <r>
    <x v="4"/>
    <s v="BCP"/>
    <x v="0"/>
    <x v="0"/>
    <x v="0"/>
    <n v="4902"/>
    <x v="0"/>
  </r>
  <r>
    <x v="4"/>
    <s v="BCP"/>
    <x v="0"/>
    <x v="0"/>
    <x v="1"/>
    <n v="5559"/>
    <x v="0"/>
  </r>
  <r>
    <x v="4"/>
    <s v="BCP"/>
    <x v="0"/>
    <x v="0"/>
    <x v="2"/>
    <n v="4371"/>
    <x v="0"/>
  </r>
  <r>
    <x v="4"/>
    <s v="BCP"/>
    <x v="0"/>
    <x v="0"/>
    <x v="3"/>
    <n v="5777"/>
    <x v="0"/>
  </r>
  <r>
    <x v="4"/>
    <s v="BCP"/>
    <x v="0"/>
    <x v="1"/>
    <x v="0"/>
    <n v="4822"/>
    <x v="0"/>
  </r>
  <r>
    <x v="4"/>
    <s v="BCP"/>
    <x v="0"/>
    <x v="1"/>
    <x v="1"/>
    <n v="6920"/>
    <x v="0"/>
  </r>
  <r>
    <x v="4"/>
    <s v="BCP"/>
    <x v="0"/>
    <x v="1"/>
    <x v="2"/>
    <n v="5910"/>
    <x v="0"/>
  </r>
  <r>
    <x v="4"/>
    <s v="BCP"/>
    <x v="0"/>
    <x v="1"/>
    <x v="3"/>
    <n v="5143"/>
    <x v="0"/>
  </r>
  <r>
    <x v="4"/>
    <s v="BCP"/>
    <x v="0"/>
    <x v="2"/>
    <x v="0"/>
    <n v="6048"/>
    <x v="0"/>
  </r>
  <r>
    <x v="4"/>
    <s v="BCP"/>
    <x v="0"/>
    <x v="2"/>
    <x v="1"/>
    <n v="6790"/>
    <x v="0"/>
  </r>
  <r>
    <x v="4"/>
    <s v="BCP"/>
    <x v="0"/>
    <x v="2"/>
    <x v="2"/>
    <n v="6752"/>
    <x v="0"/>
  </r>
  <r>
    <x v="4"/>
    <s v="BCP"/>
    <x v="0"/>
    <x v="2"/>
    <x v="3"/>
    <n v="6011"/>
    <x v="0"/>
  </r>
  <r>
    <x v="4"/>
    <s v="BCP"/>
    <x v="0"/>
    <x v="3"/>
    <x v="0"/>
    <n v="6949"/>
    <x v="0"/>
  </r>
  <r>
    <x v="4"/>
    <s v="BCP"/>
    <x v="0"/>
    <x v="3"/>
    <x v="1"/>
    <n v="6963"/>
    <x v="0"/>
  </r>
  <r>
    <x v="4"/>
    <s v="BCP"/>
    <x v="0"/>
    <x v="3"/>
    <x v="2"/>
    <n v="6492"/>
    <x v="0"/>
  </r>
  <r>
    <x v="4"/>
    <s v="BCP"/>
    <x v="0"/>
    <x v="3"/>
    <x v="3"/>
    <n v="6596"/>
    <x v="0"/>
  </r>
  <r>
    <x v="5"/>
    <s v="BCI"/>
    <x v="0"/>
    <x v="0"/>
    <x v="0"/>
    <n v="759"/>
    <x v="0"/>
  </r>
  <r>
    <x v="5"/>
    <s v="BCI"/>
    <x v="0"/>
    <x v="0"/>
    <x v="1"/>
    <n v="761"/>
    <x v="0"/>
  </r>
  <r>
    <x v="5"/>
    <s v="BCI"/>
    <x v="0"/>
    <x v="0"/>
    <x v="2"/>
    <n v="745"/>
    <x v="0"/>
  </r>
  <r>
    <x v="5"/>
    <s v="BCI"/>
    <x v="0"/>
    <x v="0"/>
    <x v="3"/>
    <n v="790"/>
    <x v="0"/>
  </r>
  <r>
    <x v="5"/>
    <s v="BCI"/>
    <x v="0"/>
    <x v="1"/>
    <x v="0"/>
    <n v="792"/>
    <x v="0"/>
  </r>
  <r>
    <x v="5"/>
    <s v="BCI"/>
    <x v="0"/>
    <x v="1"/>
    <x v="1"/>
    <n v="902"/>
    <x v="0"/>
  </r>
  <r>
    <x v="5"/>
    <s v="BCI"/>
    <x v="0"/>
    <x v="1"/>
    <x v="2"/>
    <n v="876"/>
    <x v="0"/>
  </r>
  <r>
    <x v="5"/>
    <s v="BCI"/>
    <x v="0"/>
    <x v="1"/>
    <x v="3"/>
    <n v="870"/>
    <x v="0"/>
  </r>
  <r>
    <x v="5"/>
    <s v="BCI"/>
    <x v="0"/>
    <x v="2"/>
    <x v="0"/>
    <n v="910"/>
    <x v="0"/>
  </r>
  <r>
    <x v="5"/>
    <s v="BCI"/>
    <x v="0"/>
    <x v="2"/>
    <x v="1"/>
    <n v="980"/>
    <x v="0"/>
  </r>
  <r>
    <x v="5"/>
    <s v="BCI"/>
    <x v="0"/>
    <x v="2"/>
    <x v="2"/>
    <n v="980"/>
    <x v="0"/>
  </r>
  <r>
    <x v="5"/>
    <s v="BCI"/>
    <x v="0"/>
    <x v="2"/>
    <x v="3"/>
    <n v="920"/>
    <x v="0"/>
  </r>
  <r>
    <x v="5"/>
    <s v="BCI"/>
    <x v="0"/>
    <x v="3"/>
    <x v="0"/>
    <n v="983"/>
    <x v="0"/>
  </r>
  <r>
    <x v="5"/>
    <s v="BCI"/>
    <x v="0"/>
    <x v="3"/>
    <x v="1"/>
    <n v="1007"/>
    <x v="0"/>
  </r>
  <r>
    <x v="5"/>
    <s v="BCI"/>
    <x v="0"/>
    <x v="3"/>
    <x v="2"/>
    <n v="960"/>
    <x v="0"/>
  </r>
  <r>
    <x v="5"/>
    <s v="BCI"/>
    <x v="0"/>
    <x v="3"/>
    <x v="3"/>
    <n v="990"/>
    <x v="0"/>
  </r>
  <r>
    <x v="6"/>
    <s v="CDM"/>
    <x v="0"/>
    <x v="0"/>
    <x v="0"/>
    <n v="648"/>
    <x v="0"/>
  </r>
  <r>
    <x v="6"/>
    <s v="CDM"/>
    <x v="0"/>
    <x v="0"/>
    <x v="1"/>
    <n v="637"/>
    <x v="0"/>
  </r>
  <r>
    <x v="6"/>
    <s v="CDM"/>
    <x v="0"/>
    <x v="0"/>
    <x v="2"/>
    <n v="640"/>
    <x v="0"/>
  </r>
  <r>
    <x v="6"/>
    <s v="CDM"/>
    <x v="0"/>
    <x v="0"/>
    <x v="3"/>
    <n v="644"/>
    <x v="0"/>
  </r>
  <r>
    <x v="6"/>
    <s v="CDM"/>
    <x v="0"/>
    <x v="1"/>
    <x v="0"/>
    <n v="719"/>
    <x v="0"/>
  </r>
  <r>
    <x v="6"/>
    <s v="CDM"/>
    <x v="0"/>
    <x v="1"/>
    <x v="1"/>
    <n v="707"/>
    <x v="0"/>
  </r>
  <r>
    <x v="6"/>
    <s v="CDM"/>
    <x v="0"/>
    <x v="1"/>
    <x v="2"/>
    <n v="770"/>
    <x v="0"/>
  </r>
  <r>
    <x v="6"/>
    <s v="CDM"/>
    <x v="0"/>
    <x v="1"/>
    <x v="3"/>
    <n v="704"/>
    <x v="0"/>
  </r>
  <r>
    <x v="6"/>
    <s v="CDM"/>
    <x v="0"/>
    <x v="2"/>
    <x v="0"/>
    <n v="791"/>
    <x v="0"/>
  </r>
  <r>
    <x v="6"/>
    <s v="CDM"/>
    <x v="0"/>
    <x v="2"/>
    <x v="1"/>
    <n v="815"/>
    <x v="0"/>
  </r>
  <r>
    <x v="6"/>
    <s v="CDM"/>
    <x v="0"/>
    <x v="2"/>
    <x v="2"/>
    <n v="833"/>
    <x v="0"/>
  </r>
  <r>
    <x v="6"/>
    <s v="CDM"/>
    <x v="0"/>
    <x v="2"/>
    <x v="3"/>
    <n v="861"/>
    <x v="0"/>
  </r>
  <r>
    <x v="6"/>
    <s v="CDM"/>
    <x v="0"/>
    <x v="3"/>
    <x v="0"/>
    <n v="890"/>
    <x v="0"/>
  </r>
  <r>
    <x v="6"/>
    <s v="CDM"/>
    <x v="0"/>
    <x v="3"/>
    <x v="1"/>
    <n v="885"/>
    <x v="0"/>
  </r>
  <r>
    <x v="6"/>
    <s v="CDM"/>
    <x v="0"/>
    <x v="3"/>
    <x v="2"/>
    <n v="903"/>
    <x v="0"/>
  </r>
  <r>
    <x v="6"/>
    <s v="CDM"/>
    <x v="0"/>
    <x v="3"/>
    <x v="3"/>
    <n v="790"/>
    <x v="0"/>
  </r>
  <r>
    <x v="7"/>
    <s v="CFG"/>
    <x v="0"/>
    <x v="0"/>
    <x v="0"/>
    <n v="116"/>
    <x v="0"/>
  </r>
  <r>
    <x v="7"/>
    <s v="CFG"/>
    <x v="0"/>
    <x v="0"/>
    <x v="1"/>
    <n v="113"/>
    <x v="0"/>
  </r>
  <r>
    <x v="7"/>
    <s v="CFG"/>
    <x v="0"/>
    <x v="0"/>
    <x v="2"/>
    <n v="127"/>
    <x v="0"/>
  </r>
  <r>
    <x v="7"/>
    <s v="CFG"/>
    <x v="0"/>
    <x v="0"/>
    <x v="3"/>
    <n v="144"/>
    <x v="0"/>
  </r>
  <r>
    <x v="7"/>
    <s v="CFG"/>
    <x v="0"/>
    <x v="1"/>
    <x v="0"/>
    <n v="144"/>
    <x v="0"/>
  </r>
  <r>
    <x v="7"/>
    <s v="CFG"/>
    <x v="0"/>
    <x v="1"/>
    <x v="1"/>
    <n v="165"/>
    <x v="0"/>
  </r>
  <r>
    <x v="7"/>
    <s v="CFG"/>
    <x v="0"/>
    <x v="1"/>
    <x v="2"/>
    <n v="189"/>
    <x v="0"/>
  </r>
  <r>
    <x v="7"/>
    <s v="CFG"/>
    <x v="0"/>
    <x v="1"/>
    <x v="3"/>
    <n v="159"/>
    <x v="0"/>
  </r>
  <r>
    <x v="7"/>
    <s v="CFG"/>
    <x v="0"/>
    <x v="2"/>
    <x v="0"/>
    <n v="208"/>
    <x v="0"/>
  </r>
  <r>
    <x v="7"/>
    <s v="CFG"/>
    <x v="0"/>
    <x v="2"/>
    <x v="1"/>
    <n v="216"/>
    <x v="0"/>
  </r>
  <r>
    <x v="7"/>
    <s v="CFG"/>
    <x v="0"/>
    <x v="2"/>
    <x v="2"/>
    <n v="254"/>
    <x v="0"/>
  </r>
  <r>
    <x v="7"/>
    <s v="CFG"/>
    <x v="0"/>
    <x v="2"/>
    <x v="3"/>
    <n v="263"/>
    <x v="0"/>
  </r>
  <r>
    <x v="7"/>
    <s v="CFG"/>
    <x v="0"/>
    <x v="3"/>
    <x v="0"/>
    <n v="303"/>
    <x v="0"/>
  </r>
  <r>
    <x v="7"/>
    <s v="CFG"/>
    <x v="0"/>
    <x v="3"/>
    <x v="1"/>
    <n v="297"/>
    <x v="0"/>
  </r>
  <r>
    <x v="7"/>
    <s v="CFG"/>
    <x v="0"/>
    <x v="3"/>
    <x v="2"/>
    <n v="309"/>
    <x v="0"/>
  </r>
  <r>
    <x v="7"/>
    <s v="CFG"/>
    <x v="0"/>
    <x v="3"/>
    <x v="3"/>
    <n v="338"/>
    <x v="0"/>
  </r>
  <r>
    <x v="8"/>
    <s v="CIH"/>
    <x v="0"/>
    <x v="0"/>
    <x v="0"/>
    <n v="812"/>
    <x v="0"/>
  </r>
  <r>
    <x v="8"/>
    <s v="CIH"/>
    <x v="0"/>
    <x v="0"/>
    <x v="1"/>
    <n v="812"/>
    <x v="0"/>
  </r>
  <r>
    <x v="8"/>
    <s v="CIH"/>
    <x v="0"/>
    <x v="0"/>
    <x v="2"/>
    <n v="885"/>
    <x v="0"/>
  </r>
  <r>
    <x v="8"/>
    <s v="CIH"/>
    <x v="0"/>
    <x v="0"/>
    <x v="3"/>
    <n v="1008"/>
    <x v="0"/>
  </r>
  <r>
    <x v="8"/>
    <s v="CIH"/>
    <x v="0"/>
    <x v="1"/>
    <x v="0"/>
    <n v="968"/>
    <x v="0"/>
  </r>
  <r>
    <x v="8"/>
    <s v="CIH"/>
    <x v="0"/>
    <x v="1"/>
    <x v="1"/>
    <n v="1250"/>
    <x v="0"/>
  </r>
  <r>
    <x v="8"/>
    <s v="CIH"/>
    <x v="0"/>
    <x v="1"/>
    <x v="2"/>
    <n v="1108"/>
    <x v="0"/>
  </r>
  <r>
    <x v="8"/>
    <s v="CIH"/>
    <x v="0"/>
    <x v="1"/>
    <x v="3"/>
    <n v="1141"/>
    <x v="0"/>
  </r>
  <r>
    <x v="8"/>
    <s v="CIH"/>
    <x v="0"/>
    <x v="2"/>
    <x v="0"/>
    <n v="1123"/>
    <x v="0"/>
  </r>
  <r>
    <x v="8"/>
    <s v="CIH"/>
    <x v="0"/>
    <x v="2"/>
    <x v="1"/>
    <n v="1210"/>
    <x v="0"/>
  </r>
  <r>
    <x v="8"/>
    <s v="CIH"/>
    <x v="0"/>
    <x v="2"/>
    <x v="2"/>
    <n v="1203"/>
    <x v="0"/>
  </r>
  <r>
    <x v="8"/>
    <s v="CIH"/>
    <x v="0"/>
    <x v="2"/>
    <x v="3"/>
    <n v="1203"/>
    <x v="0"/>
  </r>
  <r>
    <x v="8"/>
    <s v="CIH"/>
    <x v="0"/>
    <x v="3"/>
    <x v="0"/>
    <n v="1300"/>
    <x v="0"/>
  </r>
  <r>
    <x v="8"/>
    <s v="CIH"/>
    <x v="0"/>
    <x v="3"/>
    <x v="1"/>
    <n v="1448"/>
    <x v="0"/>
  </r>
  <r>
    <x v="8"/>
    <s v="CIH"/>
    <x v="0"/>
    <x v="3"/>
    <x v="2"/>
    <n v="1293"/>
    <x v="0"/>
  </r>
  <r>
    <x v="8"/>
    <s v="CIH"/>
    <x v="0"/>
    <x v="3"/>
    <x v="3"/>
    <n v="1382"/>
    <x v="0"/>
  </r>
  <r>
    <x v="9"/>
    <s v="EQD"/>
    <x v="0"/>
    <x v="0"/>
    <x v="0"/>
    <n v="142"/>
    <x v="0"/>
  </r>
  <r>
    <x v="9"/>
    <s v="EQD"/>
    <x v="0"/>
    <x v="0"/>
    <x v="1"/>
    <n v="165"/>
    <x v="0"/>
  </r>
  <r>
    <x v="9"/>
    <s v="EQD"/>
    <x v="0"/>
    <x v="0"/>
    <x v="2"/>
    <n v="134"/>
    <x v="0"/>
  </r>
  <r>
    <x v="9"/>
    <s v="EQD"/>
    <x v="0"/>
    <x v="0"/>
    <x v="3"/>
    <n v="140"/>
    <x v="0"/>
  </r>
  <r>
    <x v="9"/>
    <s v="EQD"/>
    <x v="0"/>
    <x v="1"/>
    <x v="0"/>
    <n v="132"/>
    <x v="0"/>
  </r>
  <r>
    <x v="9"/>
    <s v="EQD"/>
    <x v="0"/>
    <x v="1"/>
    <x v="1"/>
    <n v="161"/>
    <x v="0"/>
  </r>
  <r>
    <x v="9"/>
    <s v="EQD"/>
    <x v="0"/>
    <x v="1"/>
    <x v="2"/>
    <n v="124"/>
    <x v="0"/>
  </r>
  <r>
    <x v="9"/>
    <s v="EQD"/>
    <x v="0"/>
    <x v="1"/>
    <x v="3"/>
    <n v="130"/>
    <x v="0"/>
  </r>
  <r>
    <x v="9"/>
    <s v="EQD"/>
    <x v="0"/>
    <x v="2"/>
    <x v="0"/>
    <n v="130"/>
    <x v="0"/>
  </r>
  <r>
    <x v="9"/>
    <s v="EQD"/>
    <x v="0"/>
    <x v="2"/>
    <x v="1"/>
    <n v="152"/>
    <x v="0"/>
  </r>
  <r>
    <x v="9"/>
    <s v="EQD"/>
    <x v="0"/>
    <x v="2"/>
    <x v="2"/>
    <n v="132"/>
    <x v="0"/>
  </r>
  <r>
    <x v="9"/>
    <s v="EQD"/>
    <x v="0"/>
    <x v="2"/>
    <x v="3"/>
    <n v="129"/>
    <x v="0"/>
  </r>
  <r>
    <x v="9"/>
    <s v="EQD"/>
    <x v="0"/>
    <x v="3"/>
    <x v="0"/>
    <n v="140"/>
    <x v="0"/>
  </r>
  <r>
    <x v="9"/>
    <s v="EQD"/>
    <x v="0"/>
    <x v="3"/>
    <x v="1"/>
    <n v="166"/>
    <x v="0"/>
  </r>
  <r>
    <x v="9"/>
    <s v="EQD"/>
    <x v="0"/>
    <x v="3"/>
    <x v="2"/>
    <n v="140"/>
    <x v="0"/>
  </r>
  <r>
    <x v="9"/>
    <s v="EQD"/>
    <x v="0"/>
    <x v="3"/>
    <x v="3"/>
    <n v="590"/>
    <x v="0"/>
  </r>
  <r>
    <x v="10"/>
    <s v="SLF"/>
    <x v="0"/>
    <x v="0"/>
    <x v="0"/>
    <n v="94"/>
    <x v="0"/>
  </r>
  <r>
    <x v="10"/>
    <s v="SLF"/>
    <x v="0"/>
    <x v="0"/>
    <x v="1"/>
    <n v="101"/>
    <x v="0"/>
  </r>
  <r>
    <x v="10"/>
    <s v="SLF"/>
    <x v="0"/>
    <x v="0"/>
    <x v="2"/>
    <n v="95"/>
    <x v="0"/>
  </r>
  <r>
    <x v="10"/>
    <s v="SLF"/>
    <x v="0"/>
    <x v="0"/>
    <x v="3"/>
    <n v="109"/>
    <x v="0"/>
  </r>
  <r>
    <x v="10"/>
    <s v="SLF"/>
    <x v="0"/>
    <x v="1"/>
    <x v="0"/>
    <n v="95"/>
    <x v="0"/>
  </r>
  <r>
    <x v="10"/>
    <s v="SLF"/>
    <x v="0"/>
    <x v="1"/>
    <x v="1"/>
    <n v="97"/>
    <x v="0"/>
  </r>
  <r>
    <x v="10"/>
    <s v="SLF"/>
    <x v="0"/>
    <x v="1"/>
    <x v="2"/>
    <n v="98"/>
    <x v="0"/>
  </r>
  <r>
    <x v="10"/>
    <s v="SLF"/>
    <x v="0"/>
    <x v="1"/>
    <x v="3"/>
    <n v="106"/>
    <x v="0"/>
  </r>
  <r>
    <x v="10"/>
    <s v="SLF"/>
    <x v="0"/>
    <x v="2"/>
    <x v="0"/>
    <n v="93"/>
    <x v="0"/>
  </r>
  <r>
    <x v="10"/>
    <s v="SLF"/>
    <x v="0"/>
    <x v="2"/>
    <x v="1"/>
    <n v="93"/>
    <x v="0"/>
  </r>
  <r>
    <x v="10"/>
    <s v="SLF"/>
    <x v="0"/>
    <x v="2"/>
    <x v="2"/>
    <n v="95"/>
    <x v="0"/>
  </r>
  <r>
    <x v="10"/>
    <s v="SLF"/>
    <x v="0"/>
    <x v="2"/>
    <x v="3"/>
    <n v="98"/>
    <x v="0"/>
  </r>
  <r>
    <x v="10"/>
    <s v="SLF"/>
    <x v="0"/>
    <x v="3"/>
    <x v="0"/>
    <n v="94"/>
    <x v="0"/>
  </r>
  <r>
    <x v="10"/>
    <s v="SLF"/>
    <x v="0"/>
    <x v="3"/>
    <x v="1"/>
    <n v="97"/>
    <x v="0"/>
  </r>
  <r>
    <x v="10"/>
    <s v="SLF"/>
    <x v="0"/>
    <x v="3"/>
    <x v="2"/>
    <n v="95"/>
    <x v="0"/>
  </r>
  <r>
    <x v="11"/>
    <s v="CAP"/>
    <x v="0"/>
    <x v="2"/>
    <x v="3"/>
    <n v="186"/>
    <x v="0"/>
  </r>
  <r>
    <x v="11"/>
    <s v="CAP"/>
    <x v="0"/>
    <x v="3"/>
    <x v="3"/>
    <n v="222"/>
    <x v="0"/>
  </r>
  <r>
    <x v="12"/>
    <s v="CSR"/>
    <x v="0"/>
    <x v="0"/>
    <x v="0"/>
    <n v="2486"/>
    <x v="0"/>
  </r>
  <r>
    <x v="12"/>
    <s v="CSR"/>
    <x v="0"/>
    <x v="0"/>
    <x v="1"/>
    <n v="2590"/>
    <x v="0"/>
  </r>
  <r>
    <x v="12"/>
    <s v="CSR"/>
    <x v="0"/>
    <x v="0"/>
    <x v="2"/>
    <n v="2823"/>
    <x v="0"/>
  </r>
  <r>
    <x v="12"/>
    <s v="CSR"/>
    <x v="0"/>
    <x v="0"/>
    <x v="3"/>
    <n v="2534"/>
    <x v="0"/>
  </r>
  <r>
    <x v="12"/>
    <s v="CSR"/>
    <x v="0"/>
    <x v="1"/>
    <x v="0"/>
    <n v="2512"/>
    <x v="0"/>
  </r>
  <r>
    <x v="12"/>
    <s v="CSR"/>
    <x v="0"/>
    <x v="1"/>
    <x v="1"/>
    <n v="2446"/>
    <x v="0"/>
  </r>
  <r>
    <x v="12"/>
    <s v="CSR"/>
    <x v="0"/>
    <x v="1"/>
    <x v="2"/>
    <n v="2700"/>
    <x v="0"/>
  </r>
  <r>
    <x v="12"/>
    <s v="CSR"/>
    <x v="0"/>
    <x v="1"/>
    <x v="3"/>
    <n v="2575"/>
    <x v="0"/>
  </r>
  <r>
    <x v="12"/>
    <s v="CSR"/>
    <x v="0"/>
    <x v="2"/>
    <x v="0"/>
    <n v="2439"/>
    <x v="0"/>
  </r>
  <r>
    <x v="12"/>
    <s v="CSR"/>
    <x v="0"/>
    <x v="2"/>
    <x v="1"/>
    <n v="2544"/>
    <x v="0"/>
  </r>
  <r>
    <x v="12"/>
    <s v="CSR"/>
    <x v="0"/>
    <x v="2"/>
    <x v="2"/>
    <n v="2766"/>
    <x v="0"/>
  </r>
  <r>
    <x v="12"/>
    <s v="CSR"/>
    <x v="0"/>
    <x v="2"/>
    <x v="3"/>
    <n v="2489"/>
    <x v="0"/>
  </r>
  <r>
    <x v="12"/>
    <s v="CSR"/>
    <x v="0"/>
    <x v="3"/>
    <x v="0"/>
    <n v="2667"/>
    <x v="0"/>
  </r>
  <r>
    <x v="12"/>
    <s v="CSR"/>
    <x v="0"/>
    <x v="3"/>
    <x v="1"/>
    <n v="2695"/>
    <x v="0"/>
  </r>
  <r>
    <x v="12"/>
    <s v="CSR"/>
    <x v="0"/>
    <x v="3"/>
    <x v="2"/>
    <n v="2675"/>
    <x v="0"/>
  </r>
  <r>
    <x v="12"/>
    <s v="CSR"/>
    <x v="0"/>
    <x v="3"/>
    <x v="3"/>
    <n v="2450"/>
    <x v="0"/>
  </r>
  <r>
    <x v="12"/>
    <s v="CSR"/>
    <x v="1"/>
    <x v="0"/>
    <x v="0"/>
    <n v="60"/>
    <x v="0"/>
  </r>
  <r>
    <x v="12"/>
    <s v="CSR"/>
    <x v="1"/>
    <x v="0"/>
    <x v="1"/>
    <n v="105"/>
    <x v="0"/>
  </r>
  <r>
    <x v="12"/>
    <s v="CSR"/>
    <x v="1"/>
    <x v="0"/>
    <x v="2"/>
    <n v="56"/>
    <x v="0"/>
  </r>
  <r>
    <x v="12"/>
    <s v="CSR"/>
    <x v="1"/>
    <x v="0"/>
    <x v="3"/>
    <n v="62"/>
    <x v="0"/>
  </r>
  <r>
    <x v="12"/>
    <s v="CSR"/>
    <x v="1"/>
    <x v="1"/>
    <x v="0"/>
    <n v="51"/>
    <x v="0"/>
  </r>
  <r>
    <x v="12"/>
    <s v="CSR"/>
    <x v="1"/>
    <x v="1"/>
    <x v="1"/>
    <n v="53"/>
    <x v="0"/>
  </r>
  <r>
    <x v="12"/>
    <s v="CSR"/>
    <x v="1"/>
    <x v="1"/>
    <x v="2"/>
    <n v="26"/>
    <x v="0"/>
  </r>
  <r>
    <x v="12"/>
    <s v="CSR"/>
    <x v="1"/>
    <x v="1"/>
    <x v="3"/>
    <n v="112"/>
    <x v="0"/>
  </r>
  <r>
    <x v="12"/>
    <s v="CSR"/>
    <x v="1"/>
    <x v="2"/>
    <x v="0"/>
    <n v="54"/>
    <x v="0"/>
  </r>
  <r>
    <x v="12"/>
    <s v="CSR"/>
    <x v="1"/>
    <x v="2"/>
    <x v="1"/>
    <n v="34"/>
    <x v="0"/>
  </r>
  <r>
    <x v="12"/>
    <s v="CSR"/>
    <x v="1"/>
    <x v="2"/>
    <x v="2"/>
    <n v="47"/>
    <x v="0"/>
  </r>
  <r>
    <x v="12"/>
    <s v="CSR"/>
    <x v="1"/>
    <x v="2"/>
    <x v="3"/>
    <n v="65"/>
    <x v="0"/>
  </r>
  <r>
    <x v="12"/>
    <s v="CSR"/>
    <x v="1"/>
    <x v="3"/>
    <x v="0"/>
    <n v="36"/>
    <x v="0"/>
  </r>
  <r>
    <x v="12"/>
    <s v="CSR"/>
    <x v="1"/>
    <x v="3"/>
    <x v="1"/>
    <n v="56"/>
    <x v="0"/>
  </r>
  <r>
    <x v="12"/>
    <s v="CSR"/>
    <x v="1"/>
    <x v="3"/>
    <x v="2"/>
    <n v="74"/>
    <x v="0"/>
  </r>
  <r>
    <x v="12"/>
    <s v="CSR"/>
    <x v="1"/>
    <x v="3"/>
    <x v="3"/>
    <n v="79"/>
    <x v="0"/>
  </r>
  <r>
    <x v="12"/>
    <s v="CSR"/>
    <x v="2"/>
    <x v="0"/>
    <x v="0"/>
    <n v="-174"/>
    <x v="0"/>
  </r>
  <r>
    <x v="12"/>
    <s v="CSR"/>
    <x v="2"/>
    <x v="0"/>
    <x v="1"/>
    <n v="1011"/>
    <x v="0"/>
  </r>
  <r>
    <x v="12"/>
    <s v="CSR"/>
    <x v="2"/>
    <x v="0"/>
    <x v="2"/>
    <n v="167"/>
    <x v="0"/>
  </r>
  <r>
    <x v="12"/>
    <s v="CSR"/>
    <x v="2"/>
    <x v="0"/>
    <x v="3"/>
    <n v="985"/>
    <x v="0"/>
  </r>
  <r>
    <x v="12"/>
    <s v="CSR"/>
    <x v="2"/>
    <x v="1"/>
    <x v="0"/>
    <n v="694"/>
    <x v="0"/>
  </r>
  <r>
    <x v="12"/>
    <s v="CSR"/>
    <x v="2"/>
    <x v="1"/>
    <x v="1"/>
    <n v="919"/>
    <x v="0"/>
  </r>
  <r>
    <x v="12"/>
    <s v="CSR"/>
    <x v="2"/>
    <x v="1"/>
    <x v="2"/>
    <n v="1796"/>
    <x v="0"/>
  </r>
  <r>
    <x v="12"/>
    <s v="CSR"/>
    <x v="2"/>
    <x v="1"/>
    <x v="3"/>
    <n v="1458"/>
    <x v="0"/>
  </r>
  <r>
    <x v="12"/>
    <s v="CSR"/>
    <x v="2"/>
    <x v="2"/>
    <x v="0"/>
    <n v="-137"/>
    <x v="0"/>
  </r>
  <r>
    <x v="12"/>
    <s v="CSR"/>
    <x v="2"/>
    <x v="2"/>
    <x v="1"/>
    <n v="1062"/>
    <x v="0"/>
  </r>
  <r>
    <x v="12"/>
    <s v="CSR"/>
    <x v="2"/>
    <x v="2"/>
    <x v="2"/>
    <n v="1823"/>
    <x v="0"/>
  </r>
  <r>
    <x v="12"/>
    <s v="CSR"/>
    <x v="2"/>
    <x v="2"/>
    <x v="3"/>
    <n v="556"/>
    <x v="0"/>
  </r>
  <r>
    <x v="12"/>
    <s v="CSR"/>
    <x v="2"/>
    <x v="3"/>
    <x v="0"/>
    <n v="-27"/>
    <x v="0"/>
  </r>
  <r>
    <x v="12"/>
    <s v="CSR"/>
    <x v="2"/>
    <x v="3"/>
    <x v="1"/>
    <n v="1608"/>
    <x v="0"/>
  </r>
  <r>
    <x v="12"/>
    <s v="CSR"/>
    <x v="2"/>
    <x v="3"/>
    <x v="2"/>
    <n v="1701"/>
    <x v="0"/>
  </r>
  <r>
    <x v="12"/>
    <s v="CSR"/>
    <x v="2"/>
    <x v="3"/>
    <x v="3"/>
    <n v="206"/>
    <x v="0"/>
  </r>
  <r>
    <x v="13"/>
    <s v="LES"/>
    <x v="0"/>
    <x v="0"/>
    <x v="0"/>
    <n v="1644"/>
    <x v="0"/>
  </r>
  <r>
    <x v="13"/>
    <s v="LES"/>
    <x v="0"/>
    <x v="0"/>
    <x v="1"/>
    <n v="1954"/>
    <x v="0"/>
  </r>
  <r>
    <x v="13"/>
    <s v="LES"/>
    <x v="0"/>
    <x v="0"/>
    <x v="2"/>
    <n v="1641"/>
    <x v="0"/>
  </r>
  <r>
    <x v="13"/>
    <s v="LES"/>
    <x v="0"/>
    <x v="0"/>
    <x v="3"/>
    <n v="1650"/>
    <x v="0"/>
  </r>
  <r>
    <x v="13"/>
    <s v="LES"/>
    <x v="0"/>
    <x v="1"/>
    <x v="0"/>
    <n v="1827"/>
    <x v="0"/>
  </r>
  <r>
    <x v="13"/>
    <s v="LES"/>
    <x v="0"/>
    <x v="1"/>
    <x v="1"/>
    <n v="1212"/>
    <x v="0"/>
  </r>
  <r>
    <x v="13"/>
    <s v="LES"/>
    <x v="0"/>
    <x v="1"/>
    <x v="2"/>
    <n v="1510"/>
    <x v="0"/>
  </r>
  <r>
    <x v="13"/>
    <s v="LES"/>
    <x v="0"/>
    <x v="1"/>
    <x v="3"/>
    <n v="1385"/>
    <x v="0"/>
  </r>
  <r>
    <x v="13"/>
    <s v="LES"/>
    <x v="0"/>
    <x v="2"/>
    <x v="0"/>
    <n v="1506"/>
    <x v="0"/>
  </r>
  <r>
    <x v="13"/>
    <s v="LES"/>
    <x v="0"/>
    <x v="2"/>
    <x v="1"/>
    <n v="1205"/>
    <x v="0"/>
  </r>
  <r>
    <x v="13"/>
    <s v="LES"/>
    <x v="0"/>
    <x v="2"/>
    <x v="2"/>
    <n v="1036"/>
    <x v="0"/>
  </r>
  <r>
    <x v="13"/>
    <s v="LES"/>
    <x v="0"/>
    <x v="2"/>
    <x v="3"/>
    <n v="1381"/>
    <x v="0"/>
  </r>
  <r>
    <x v="13"/>
    <s v="LES"/>
    <x v="0"/>
    <x v="3"/>
    <x v="0"/>
    <n v="1656"/>
    <x v="0"/>
  </r>
  <r>
    <x v="13"/>
    <s v="LES"/>
    <x v="0"/>
    <x v="3"/>
    <x v="1"/>
    <n v="1168"/>
    <x v="0"/>
  </r>
  <r>
    <x v="13"/>
    <s v="LES"/>
    <x v="0"/>
    <x v="3"/>
    <x v="2"/>
    <n v="1227"/>
    <x v="0"/>
  </r>
  <r>
    <x v="13"/>
    <s v="LES"/>
    <x v="0"/>
    <x v="3"/>
    <x v="3"/>
    <n v="1216"/>
    <x v="0"/>
  </r>
  <r>
    <x v="13"/>
    <s v="LES"/>
    <x v="1"/>
    <x v="0"/>
    <x v="0"/>
    <n v="16"/>
    <x v="0"/>
  </r>
  <r>
    <x v="13"/>
    <s v="LES"/>
    <x v="1"/>
    <x v="0"/>
    <x v="1"/>
    <n v="41"/>
    <x v="0"/>
  </r>
  <r>
    <x v="13"/>
    <s v="LES"/>
    <x v="1"/>
    <x v="0"/>
    <x v="2"/>
    <n v="9"/>
    <x v="0"/>
  </r>
  <r>
    <x v="13"/>
    <s v="LES"/>
    <x v="1"/>
    <x v="0"/>
    <x v="3"/>
    <n v="100"/>
    <x v="0"/>
  </r>
  <r>
    <x v="13"/>
    <s v="LES"/>
    <x v="1"/>
    <x v="1"/>
    <x v="0"/>
    <n v="11"/>
    <x v="0"/>
  </r>
  <r>
    <x v="13"/>
    <s v="LES"/>
    <x v="1"/>
    <x v="1"/>
    <x v="1"/>
    <n v="23"/>
    <x v="0"/>
  </r>
  <r>
    <x v="13"/>
    <s v="LES"/>
    <x v="1"/>
    <x v="1"/>
    <x v="2"/>
    <n v="37"/>
    <x v="0"/>
  </r>
  <r>
    <x v="13"/>
    <s v="LES"/>
    <x v="1"/>
    <x v="1"/>
    <x v="3"/>
    <n v="47"/>
    <x v="0"/>
  </r>
  <r>
    <x v="13"/>
    <s v="LES"/>
    <x v="1"/>
    <x v="2"/>
    <x v="0"/>
    <n v="48"/>
    <x v="0"/>
  </r>
  <r>
    <x v="13"/>
    <s v="LES"/>
    <x v="1"/>
    <x v="2"/>
    <x v="1"/>
    <n v="52"/>
    <x v="0"/>
  </r>
  <r>
    <x v="13"/>
    <s v="LES"/>
    <x v="1"/>
    <x v="2"/>
    <x v="2"/>
    <n v="9"/>
    <x v="0"/>
  </r>
  <r>
    <x v="13"/>
    <s v="LES"/>
    <x v="1"/>
    <x v="2"/>
    <x v="3"/>
    <n v="50"/>
    <x v="0"/>
  </r>
  <r>
    <x v="13"/>
    <s v="LES"/>
    <x v="1"/>
    <x v="3"/>
    <x v="0"/>
    <n v="6"/>
    <x v="0"/>
  </r>
  <r>
    <x v="13"/>
    <s v="LES"/>
    <x v="1"/>
    <x v="3"/>
    <x v="1"/>
    <n v="13"/>
    <x v="0"/>
  </r>
  <r>
    <x v="13"/>
    <s v="LES"/>
    <x v="1"/>
    <x v="3"/>
    <x v="2"/>
    <n v="9"/>
    <x v="0"/>
  </r>
  <r>
    <x v="13"/>
    <s v="LES"/>
    <x v="1"/>
    <x v="3"/>
    <x v="3"/>
    <n v="33"/>
    <x v="0"/>
  </r>
  <r>
    <x v="13"/>
    <s v="LES"/>
    <x v="2"/>
    <x v="0"/>
    <x v="0"/>
    <n v="-1002"/>
    <x v="0"/>
  </r>
  <r>
    <x v="13"/>
    <s v="LES"/>
    <x v="2"/>
    <x v="0"/>
    <x v="1"/>
    <n v="-921"/>
    <x v="0"/>
  </r>
  <r>
    <x v="13"/>
    <s v="LES"/>
    <x v="2"/>
    <x v="0"/>
    <x v="2"/>
    <n v="-1087"/>
    <x v="0"/>
  </r>
  <r>
    <x v="13"/>
    <s v="LES"/>
    <x v="2"/>
    <x v="0"/>
    <x v="3"/>
    <n v="-1094"/>
    <x v="0"/>
  </r>
  <r>
    <x v="13"/>
    <s v="LES"/>
    <x v="2"/>
    <x v="1"/>
    <x v="0"/>
    <n v="-1551"/>
    <x v="0"/>
  </r>
  <r>
    <x v="13"/>
    <s v="LES"/>
    <x v="2"/>
    <x v="1"/>
    <x v="1"/>
    <n v="-1094"/>
    <x v="0"/>
  </r>
  <r>
    <x v="13"/>
    <s v="LES"/>
    <x v="2"/>
    <x v="1"/>
    <x v="2"/>
    <n v="-1659"/>
    <x v="0"/>
  </r>
  <r>
    <x v="13"/>
    <s v="LES"/>
    <x v="2"/>
    <x v="1"/>
    <x v="3"/>
    <n v="36"/>
    <x v="0"/>
  </r>
  <r>
    <x v="13"/>
    <s v="LES"/>
    <x v="2"/>
    <x v="2"/>
    <x v="0"/>
    <n v="-279"/>
    <x v="0"/>
  </r>
  <r>
    <x v="13"/>
    <s v="LES"/>
    <x v="2"/>
    <x v="2"/>
    <x v="1"/>
    <n v="24"/>
    <x v="0"/>
  </r>
  <r>
    <x v="13"/>
    <s v="LES"/>
    <x v="2"/>
    <x v="2"/>
    <x v="2"/>
    <n v="-168"/>
    <x v="0"/>
  </r>
  <r>
    <x v="13"/>
    <s v="LES"/>
    <x v="2"/>
    <x v="2"/>
    <x v="3"/>
    <n v="196"/>
    <x v="0"/>
  </r>
  <r>
    <x v="13"/>
    <s v="LES"/>
    <x v="2"/>
    <x v="3"/>
    <x v="0"/>
    <n v="60"/>
    <x v="0"/>
  </r>
  <r>
    <x v="13"/>
    <s v="LES"/>
    <x v="2"/>
    <x v="3"/>
    <x v="1"/>
    <n v="281"/>
    <x v="0"/>
  </r>
  <r>
    <x v="13"/>
    <s v="LES"/>
    <x v="2"/>
    <x v="3"/>
    <x v="2"/>
    <n v="12"/>
    <x v="0"/>
  </r>
  <r>
    <x v="13"/>
    <s v="LES"/>
    <x v="2"/>
    <x v="3"/>
    <x v="3"/>
    <n v="243"/>
    <x v="0"/>
  </r>
  <r>
    <x v="14"/>
    <s v="MUT"/>
    <x v="0"/>
    <x v="0"/>
    <x v="0"/>
    <n v="422"/>
    <x v="0"/>
  </r>
  <r>
    <x v="14"/>
    <s v="MUT"/>
    <x v="0"/>
    <x v="0"/>
    <x v="1"/>
    <n v="599"/>
    <x v="0"/>
  </r>
  <r>
    <x v="14"/>
    <s v="MUT"/>
    <x v="0"/>
    <x v="0"/>
    <x v="2"/>
    <n v="708"/>
    <x v="0"/>
  </r>
  <r>
    <x v="14"/>
    <s v="MUT"/>
    <x v="0"/>
    <x v="0"/>
    <x v="3"/>
    <n v="600"/>
    <x v="0"/>
  </r>
  <r>
    <x v="14"/>
    <s v="MUT"/>
    <x v="0"/>
    <x v="1"/>
    <x v="0"/>
    <n v="518"/>
    <x v="0"/>
  </r>
  <r>
    <x v="14"/>
    <s v="MUT"/>
    <x v="0"/>
    <x v="1"/>
    <x v="1"/>
    <n v="582"/>
    <x v="0"/>
  </r>
  <r>
    <x v="14"/>
    <s v="MUT"/>
    <x v="0"/>
    <x v="1"/>
    <x v="2"/>
    <n v="703"/>
    <x v="0"/>
  </r>
  <r>
    <x v="14"/>
    <s v="MUT"/>
    <x v="0"/>
    <x v="1"/>
    <x v="3"/>
    <n v="694"/>
    <x v="0"/>
  </r>
  <r>
    <x v="14"/>
    <s v="MUT"/>
    <x v="0"/>
    <x v="2"/>
    <x v="0"/>
    <n v="470"/>
    <x v="0"/>
  </r>
  <r>
    <x v="14"/>
    <s v="MUT"/>
    <x v="0"/>
    <x v="2"/>
    <x v="1"/>
    <n v="495"/>
    <x v="0"/>
  </r>
  <r>
    <x v="14"/>
    <s v="MUT"/>
    <x v="0"/>
    <x v="2"/>
    <x v="2"/>
    <n v="637"/>
    <x v="0"/>
  </r>
  <r>
    <x v="14"/>
    <s v="MUT"/>
    <x v="0"/>
    <x v="2"/>
    <x v="3"/>
    <n v="514"/>
    <x v="0"/>
  </r>
  <r>
    <x v="14"/>
    <s v="MUT"/>
    <x v="0"/>
    <x v="3"/>
    <x v="0"/>
    <n v="452"/>
    <x v="0"/>
  </r>
  <r>
    <x v="14"/>
    <s v="MUT"/>
    <x v="0"/>
    <x v="3"/>
    <x v="1"/>
    <n v="450"/>
    <x v="0"/>
  </r>
  <r>
    <x v="14"/>
    <s v="MUT"/>
    <x v="0"/>
    <x v="3"/>
    <x v="2"/>
    <n v="592"/>
    <x v="0"/>
  </r>
  <r>
    <x v="14"/>
    <s v="MUT"/>
    <x v="0"/>
    <x v="3"/>
    <x v="3"/>
    <n v="528"/>
    <x v="0"/>
  </r>
  <r>
    <x v="14"/>
    <s v="MUT"/>
    <x v="1"/>
    <x v="0"/>
    <x v="0"/>
    <n v="51"/>
    <x v="0"/>
  </r>
  <r>
    <x v="14"/>
    <s v="MUT"/>
    <x v="1"/>
    <x v="0"/>
    <x v="1"/>
    <n v="55"/>
    <x v="0"/>
  </r>
  <r>
    <x v="14"/>
    <s v="MUT"/>
    <x v="1"/>
    <x v="0"/>
    <x v="2"/>
    <n v="60"/>
    <x v="0"/>
  </r>
  <r>
    <x v="14"/>
    <s v="MUT"/>
    <x v="1"/>
    <x v="0"/>
    <x v="3"/>
    <n v="52"/>
    <x v="0"/>
  </r>
  <r>
    <x v="14"/>
    <s v="MUT"/>
    <x v="1"/>
    <x v="1"/>
    <x v="0"/>
    <n v="42"/>
    <x v="0"/>
  </r>
  <r>
    <x v="14"/>
    <s v="MUT"/>
    <x v="1"/>
    <x v="1"/>
    <x v="1"/>
    <n v="59"/>
    <x v="0"/>
  </r>
  <r>
    <x v="14"/>
    <s v="MUT"/>
    <x v="1"/>
    <x v="1"/>
    <x v="2"/>
    <n v="43"/>
    <x v="0"/>
  </r>
  <r>
    <x v="14"/>
    <s v="MUT"/>
    <x v="1"/>
    <x v="1"/>
    <x v="3"/>
    <n v="385"/>
    <x v="0"/>
  </r>
  <r>
    <x v="14"/>
    <s v="MUT"/>
    <x v="1"/>
    <x v="2"/>
    <x v="0"/>
    <n v="72"/>
    <x v="0"/>
  </r>
  <r>
    <x v="14"/>
    <s v="MUT"/>
    <x v="1"/>
    <x v="2"/>
    <x v="1"/>
    <n v="52"/>
    <x v="0"/>
  </r>
  <r>
    <x v="14"/>
    <s v="MUT"/>
    <x v="1"/>
    <x v="2"/>
    <x v="2"/>
    <n v="31"/>
    <x v="0"/>
  </r>
  <r>
    <x v="14"/>
    <s v="MUT"/>
    <x v="1"/>
    <x v="2"/>
    <x v="3"/>
    <n v="106"/>
    <x v="0"/>
  </r>
  <r>
    <x v="14"/>
    <s v="MUT"/>
    <x v="1"/>
    <x v="3"/>
    <x v="0"/>
    <n v="37"/>
    <x v="0"/>
  </r>
  <r>
    <x v="14"/>
    <s v="MUT"/>
    <x v="1"/>
    <x v="3"/>
    <x v="1"/>
    <n v="26"/>
    <x v="0"/>
  </r>
  <r>
    <x v="14"/>
    <s v="MUT"/>
    <x v="1"/>
    <x v="3"/>
    <x v="2"/>
    <n v="-14"/>
    <x v="0"/>
  </r>
  <r>
    <x v="14"/>
    <s v="MUT"/>
    <x v="1"/>
    <x v="3"/>
    <x v="3"/>
    <n v="39"/>
    <x v="0"/>
  </r>
  <r>
    <x v="14"/>
    <s v="MUT"/>
    <x v="2"/>
    <x v="0"/>
    <x v="0"/>
    <n v="558"/>
    <x v="0"/>
  </r>
  <r>
    <x v="14"/>
    <s v="MUT"/>
    <x v="2"/>
    <x v="0"/>
    <x v="1"/>
    <n v="586"/>
    <x v="0"/>
  </r>
  <r>
    <x v="14"/>
    <s v="MUT"/>
    <x v="2"/>
    <x v="0"/>
    <x v="2"/>
    <n v="756"/>
    <x v="0"/>
  </r>
  <r>
    <x v="14"/>
    <s v="MUT"/>
    <x v="2"/>
    <x v="0"/>
    <x v="3"/>
    <n v="739"/>
    <x v="0"/>
  </r>
  <r>
    <x v="14"/>
    <s v="MUT"/>
    <x v="2"/>
    <x v="1"/>
    <x v="0"/>
    <n v="875"/>
    <x v="0"/>
  </r>
  <r>
    <x v="14"/>
    <s v="MUT"/>
    <x v="2"/>
    <x v="1"/>
    <x v="1"/>
    <n v="954"/>
    <x v="0"/>
  </r>
  <r>
    <x v="14"/>
    <s v="MUT"/>
    <x v="2"/>
    <x v="1"/>
    <x v="2"/>
    <n v="1262"/>
    <x v="0"/>
  </r>
  <r>
    <x v="14"/>
    <s v="MUT"/>
    <x v="2"/>
    <x v="1"/>
    <x v="3"/>
    <n v="1102"/>
    <x v="0"/>
  </r>
  <r>
    <x v="14"/>
    <s v="MUT"/>
    <x v="2"/>
    <x v="2"/>
    <x v="0"/>
    <n v="1075"/>
    <x v="0"/>
  </r>
  <r>
    <x v="14"/>
    <s v="MUT"/>
    <x v="2"/>
    <x v="2"/>
    <x v="1"/>
    <n v="710"/>
    <x v="0"/>
  </r>
  <r>
    <x v="14"/>
    <s v="MUT"/>
    <x v="2"/>
    <x v="2"/>
    <x v="2"/>
    <n v="869"/>
    <x v="0"/>
  </r>
  <r>
    <x v="14"/>
    <s v="MUT"/>
    <x v="2"/>
    <x v="2"/>
    <x v="3"/>
    <n v="850"/>
    <x v="0"/>
  </r>
  <r>
    <x v="14"/>
    <s v="MUT"/>
    <x v="2"/>
    <x v="3"/>
    <x v="0"/>
    <n v="950"/>
    <x v="0"/>
  </r>
  <r>
    <x v="14"/>
    <s v="MUT"/>
    <x v="2"/>
    <x v="3"/>
    <x v="1"/>
    <n v="938"/>
    <x v="0"/>
  </r>
  <r>
    <x v="14"/>
    <s v="MUT"/>
    <x v="2"/>
    <x v="3"/>
    <x v="2"/>
    <n v="885"/>
    <x v="0"/>
  </r>
  <r>
    <x v="14"/>
    <s v="MUT"/>
    <x v="2"/>
    <x v="3"/>
    <x v="3"/>
    <n v="828"/>
    <x v="0"/>
  </r>
  <r>
    <x v="15"/>
    <s v="SBM"/>
    <x v="0"/>
    <x v="0"/>
    <x v="0"/>
    <n v="496"/>
    <x v="0"/>
  </r>
  <r>
    <x v="15"/>
    <s v="SBM"/>
    <x v="0"/>
    <x v="0"/>
    <x v="1"/>
    <n v="602"/>
    <x v="0"/>
  </r>
  <r>
    <x v="15"/>
    <s v="SBM"/>
    <x v="0"/>
    <x v="0"/>
    <x v="2"/>
    <n v="995"/>
    <x v="0"/>
  </r>
  <r>
    <x v="15"/>
    <s v="SBM"/>
    <x v="0"/>
    <x v="0"/>
    <x v="3"/>
    <n v="820"/>
    <x v="0"/>
  </r>
  <r>
    <x v="15"/>
    <s v="SBM"/>
    <x v="0"/>
    <x v="1"/>
    <x v="0"/>
    <n v="466"/>
    <x v="0"/>
  </r>
  <r>
    <x v="15"/>
    <s v="SBM"/>
    <x v="0"/>
    <x v="1"/>
    <x v="1"/>
    <n v="747"/>
    <x v="0"/>
  </r>
  <r>
    <x v="15"/>
    <s v="SBM"/>
    <x v="0"/>
    <x v="1"/>
    <x v="2"/>
    <n v="973"/>
    <x v="0"/>
  </r>
  <r>
    <x v="15"/>
    <s v="SBM"/>
    <x v="0"/>
    <x v="1"/>
    <x v="3"/>
    <n v="745"/>
    <x v="0"/>
  </r>
  <r>
    <x v="15"/>
    <s v="SBM"/>
    <x v="0"/>
    <x v="2"/>
    <x v="0"/>
    <n v="362"/>
    <x v="0"/>
  </r>
  <r>
    <x v="15"/>
    <s v="SBM"/>
    <x v="0"/>
    <x v="2"/>
    <x v="1"/>
    <n v="756"/>
    <x v="0"/>
  </r>
  <r>
    <x v="15"/>
    <s v="SBM"/>
    <x v="0"/>
    <x v="2"/>
    <x v="2"/>
    <n v="918"/>
    <x v="0"/>
  </r>
  <r>
    <x v="15"/>
    <s v="SBM"/>
    <x v="0"/>
    <x v="2"/>
    <x v="3"/>
    <n v="826"/>
    <x v="0"/>
  </r>
  <r>
    <x v="15"/>
    <s v="SBM"/>
    <x v="0"/>
    <x v="3"/>
    <x v="0"/>
    <n v="351"/>
    <x v="0"/>
  </r>
  <r>
    <x v="15"/>
    <s v="SBM"/>
    <x v="0"/>
    <x v="3"/>
    <x v="1"/>
    <n v="830"/>
    <x v="0"/>
  </r>
  <r>
    <x v="15"/>
    <s v="SBM"/>
    <x v="0"/>
    <x v="3"/>
    <x v="2"/>
    <n v="971"/>
    <x v="0"/>
  </r>
  <r>
    <x v="15"/>
    <s v="SBM"/>
    <x v="0"/>
    <x v="3"/>
    <x v="3"/>
    <n v="930"/>
    <x v="0"/>
  </r>
  <r>
    <x v="15"/>
    <s v="SBM"/>
    <x v="1"/>
    <x v="0"/>
    <x v="0"/>
    <n v="5"/>
    <x v="0"/>
  </r>
  <r>
    <x v="15"/>
    <s v="SBM"/>
    <x v="1"/>
    <x v="0"/>
    <x v="1"/>
    <n v="12"/>
    <x v="0"/>
  </r>
  <r>
    <x v="15"/>
    <s v="SBM"/>
    <x v="1"/>
    <x v="0"/>
    <x v="2"/>
    <n v="12"/>
    <x v="0"/>
  </r>
  <r>
    <x v="15"/>
    <s v="SBM"/>
    <x v="1"/>
    <x v="0"/>
    <x v="3"/>
    <n v="39"/>
    <x v="0"/>
  </r>
  <r>
    <x v="15"/>
    <s v="SBM"/>
    <x v="1"/>
    <x v="1"/>
    <x v="0"/>
    <n v="9"/>
    <x v="0"/>
  </r>
  <r>
    <x v="15"/>
    <s v="SBM"/>
    <x v="1"/>
    <x v="1"/>
    <x v="1"/>
    <n v="88"/>
    <x v="0"/>
  </r>
  <r>
    <x v="15"/>
    <s v="SBM"/>
    <x v="1"/>
    <x v="1"/>
    <x v="2"/>
    <n v="43"/>
    <x v="0"/>
  </r>
  <r>
    <x v="15"/>
    <s v="SBM"/>
    <x v="1"/>
    <x v="1"/>
    <x v="3"/>
    <n v="55"/>
    <x v="0"/>
  </r>
  <r>
    <x v="15"/>
    <s v="SBM"/>
    <x v="1"/>
    <x v="2"/>
    <x v="0"/>
    <n v="15"/>
    <x v="0"/>
  </r>
  <r>
    <x v="15"/>
    <s v="SBM"/>
    <x v="1"/>
    <x v="2"/>
    <x v="1"/>
    <n v="38"/>
    <x v="0"/>
  </r>
  <r>
    <x v="15"/>
    <s v="SBM"/>
    <x v="1"/>
    <x v="2"/>
    <x v="2"/>
    <n v="27"/>
    <x v="0"/>
  </r>
  <r>
    <x v="15"/>
    <s v="SBM"/>
    <x v="1"/>
    <x v="2"/>
    <x v="3"/>
    <n v="34"/>
    <x v="0"/>
  </r>
  <r>
    <x v="15"/>
    <s v="SBM"/>
    <x v="1"/>
    <x v="3"/>
    <x v="0"/>
    <n v="13"/>
    <x v="0"/>
  </r>
  <r>
    <x v="15"/>
    <s v="SBM"/>
    <x v="1"/>
    <x v="3"/>
    <x v="1"/>
    <n v="37"/>
    <x v="0"/>
  </r>
  <r>
    <x v="15"/>
    <s v="SBM"/>
    <x v="1"/>
    <x v="3"/>
    <x v="2"/>
    <n v="31"/>
    <x v="0"/>
  </r>
  <r>
    <x v="15"/>
    <s v="SBM"/>
    <x v="1"/>
    <x v="3"/>
    <x v="3"/>
    <n v="20"/>
    <x v="0"/>
  </r>
  <r>
    <x v="15"/>
    <s v="SBM"/>
    <x v="2"/>
    <x v="0"/>
    <x v="0"/>
    <n v="-737"/>
    <x v="0"/>
  </r>
  <r>
    <x v="15"/>
    <s v="SBM"/>
    <x v="2"/>
    <x v="0"/>
    <x v="1"/>
    <n v="-760"/>
    <x v="0"/>
  </r>
  <r>
    <x v="15"/>
    <s v="SBM"/>
    <x v="2"/>
    <x v="0"/>
    <x v="2"/>
    <n v="-511"/>
    <x v="0"/>
  </r>
  <r>
    <x v="15"/>
    <s v="SBM"/>
    <x v="2"/>
    <x v="0"/>
    <x v="3"/>
    <n v="-841"/>
    <x v="0"/>
  </r>
  <r>
    <x v="15"/>
    <s v="SBM"/>
    <x v="2"/>
    <x v="1"/>
    <x v="0"/>
    <n v="-874"/>
    <x v="0"/>
  </r>
  <r>
    <x v="15"/>
    <s v="SBM"/>
    <x v="2"/>
    <x v="1"/>
    <x v="1"/>
    <n v="-319"/>
    <x v="0"/>
  </r>
  <r>
    <x v="15"/>
    <s v="SBM"/>
    <x v="2"/>
    <x v="1"/>
    <x v="2"/>
    <n v="-834"/>
    <x v="0"/>
  </r>
  <r>
    <x v="15"/>
    <s v="SBM"/>
    <x v="2"/>
    <x v="1"/>
    <x v="3"/>
    <n v="-941"/>
    <x v="0"/>
  </r>
  <r>
    <x v="15"/>
    <s v="SBM"/>
    <x v="2"/>
    <x v="2"/>
    <x v="0"/>
    <n v="-821"/>
    <x v="0"/>
  </r>
  <r>
    <x v="15"/>
    <s v="SBM"/>
    <x v="2"/>
    <x v="2"/>
    <x v="1"/>
    <n v="-365"/>
    <x v="0"/>
  </r>
  <r>
    <x v="15"/>
    <s v="SBM"/>
    <x v="2"/>
    <x v="2"/>
    <x v="2"/>
    <n v="-558"/>
    <x v="0"/>
  </r>
  <r>
    <x v="15"/>
    <s v="SBM"/>
    <x v="2"/>
    <x v="2"/>
    <x v="3"/>
    <n v="-556"/>
    <x v="0"/>
  </r>
  <r>
    <x v="15"/>
    <s v="SBM"/>
    <x v="2"/>
    <x v="3"/>
    <x v="0"/>
    <n v="-390"/>
    <x v="0"/>
  </r>
  <r>
    <x v="15"/>
    <s v="SBM"/>
    <x v="2"/>
    <x v="3"/>
    <x v="1"/>
    <n v="-253"/>
    <x v="0"/>
  </r>
  <r>
    <x v="15"/>
    <s v="SBM"/>
    <x v="2"/>
    <x v="3"/>
    <x v="2"/>
    <n v="-446"/>
    <x v="0"/>
  </r>
  <r>
    <x v="15"/>
    <s v="SBM"/>
    <x v="2"/>
    <x v="3"/>
    <x v="3"/>
    <n v="-593"/>
    <x v="0"/>
  </r>
  <r>
    <x v="16"/>
    <s v="JET"/>
    <x v="0"/>
    <x v="0"/>
    <x v="0"/>
    <n v="343"/>
    <x v="0"/>
  </r>
  <r>
    <x v="16"/>
    <s v="JET"/>
    <x v="0"/>
    <x v="0"/>
    <x v="1"/>
    <n v="527"/>
    <x v="0"/>
  </r>
  <r>
    <x v="16"/>
    <s v="JET"/>
    <x v="0"/>
    <x v="0"/>
    <x v="2"/>
    <n v="285"/>
    <x v="0"/>
  </r>
  <r>
    <x v="16"/>
    <s v="JET"/>
    <x v="0"/>
    <x v="0"/>
    <x v="3"/>
    <n v="559"/>
    <x v="0"/>
  </r>
  <r>
    <x v="16"/>
    <s v="JET"/>
    <x v="0"/>
    <x v="1"/>
    <x v="0"/>
    <n v="521"/>
    <x v="0"/>
  </r>
  <r>
    <x v="16"/>
    <s v="JET"/>
    <x v="0"/>
    <x v="1"/>
    <x v="1"/>
    <n v="514"/>
    <x v="0"/>
  </r>
  <r>
    <x v="16"/>
    <s v="JET"/>
    <x v="0"/>
    <x v="1"/>
    <x v="2"/>
    <n v="383"/>
    <x v="0"/>
  </r>
  <r>
    <x v="16"/>
    <s v="JET"/>
    <x v="0"/>
    <x v="1"/>
    <x v="3"/>
    <n v="902"/>
    <x v="0"/>
  </r>
  <r>
    <x v="16"/>
    <s v="JET"/>
    <x v="0"/>
    <x v="2"/>
    <x v="0"/>
    <n v="603"/>
    <x v="0"/>
  </r>
  <r>
    <x v="16"/>
    <s v="JET"/>
    <x v="0"/>
    <x v="2"/>
    <x v="1"/>
    <n v="849"/>
    <x v="0"/>
  </r>
  <r>
    <x v="16"/>
    <s v="JET"/>
    <x v="0"/>
    <x v="2"/>
    <x v="2"/>
    <n v="383"/>
    <x v="0"/>
  </r>
  <r>
    <x v="16"/>
    <s v="JET"/>
    <x v="0"/>
    <x v="2"/>
    <x v="3"/>
    <n v="838"/>
    <x v="0"/>
  </r>
  <r>
    <x v="16"/>
    <s v="JET"/>
    <x v="0"/>
    <x v="3"/>
    <x v="0"/>
    <n v="735"/>
    <x v="0"/>
  </r>
  <r>
    <x v="16"/>
    <s v="JET"/>
    <x v="0"/>
    <x v="3"/>
    <x v="1"/>
    <n v="789"/>
    <x v="0"/>
  </r>
  <r>
    <x v="16"/>
    <s v="JET"/>
    <x v="0"/>
    <x v="3"/>
    <x v="2"/>
    <n v="854"/>
    <x v="0"/>
  </r>
  <r>
    <x v="16"/>
    <s v="JET"/>
    <x v="0"/>
    <x v="3"/>
    <x v="3"/>
    <n v="1343"/>
    <x v="0"/>
  </r>
  <r>
    <x v="16"/>
    <s v="JET"/>
    <x v="1"/>
    <x v="0"/>
    <x v="0"/>
    <n v="6"/>
    <x v="0"/>
  </r>
  <r>
    <x v="16"/>
    <s v="JET"/>
    <x v="1"/>
    <x v="0"/>
    <x v="1"/>
    <n v="4"/>
    <x v="0"/>
  </r>
  <r>
    <x v="16"/>
    <s v="JET"/>
    <x v="1"/>
    <x v="0"/>
    <x v="2"/>
    <n v="39"/>
    <x v="0"/>
  </r>
  <r>
    <x v="16"/>
    <s v="JET"/>
    <x v="1"/>
    <x v="0"/>
    <x v="3"/>
    <n v="18"/>
    <x v="0"/>
  </r>
  <r>
    <x v="16"/>
    <s v="JET"/>
    <x v="1"/>
    <x v="1"/>
    <x v="0"/>
    <n v="7"/>
    <x v="0"/>
  </r>
  <r>
    <x v="16"/>
    <s v="JET"/>
    <x v="1"/>
    <x v="1"/>
    <x v="1"/>
    <n v="18"/>
    <x v="0"/>
  </r>
  <r>
    <x v="16"/>
    <s v="JET"/>
    <x v="1"/>
    <x v="1"/>
    <x v="2"/>
    <n v="6"/>
    <x v="0"/>
  </r>
  <r>
    <x v="16"/>
    <s v="JET"/>
    <x v="1"/>
    <x v="1"/>
    <x v="3"/>
    <n v="5"/>
    <x v="0"/>
  </r>
  <r>
    <x v="16"/>
    <s v="JET"/>
    <x v="1"/>
    <x v="2"/>
    <x v="0"/>
    <n v="17"/>
    <x v="0"/>
  </r>
  <r>
    <x v="16"/>
    <s v="JET"/>
    <x v="1"/>
    <x v="2"/>
    <x v="1"/>
    <n v="22"/>
    <x v="0"/>
  </r>
  <r>
    <x v="16"/>
    <s v="JET"/>
    <x v="1"/>
    <x v="2"/>
    <x v="2"/>
    <n v="28"/>
    <x v="0"/>
  </r>
  <r>
    <x v="16"/>
    <s v="JET"/>
    <x v="1"/>
    <x v="2"/>
    <x v="3"/>
    <n v="4"/>
    <x v="0"/>
  </r>
  <r>
    <x v="16"/>
    <s v="JET"/>
    <x v="1"/>
    <x v="3"/>
    <x v="0"/>
    <n v="9"/>
    <x v="0"/>
  </r>
  <r>
    <x v="16"/>
    <s v="JET"/>
    <x v="1"/>
    <x v="3"/>
    <x v="1"/>
    <n v="29"/>
    <x v="0"/>
  </r>
  <r>
    <x v="16"/>
    <s v="JET"/>
    <x v="1"/>
    <x v="3"/>
    <x v="2"/>
    <n v="207"/>
    <x v="0"/>
  </r>
  <r>
    <x v="16"/>
    <s v="JET"/>
    <x v="1"/>
    <x v="3"/>
    <x v="3"/>
    <n v="166"/>
    <x v="0"/>
  </r>
  <r>
    <x v="16"/>
    <s v="JET"/>
    <x v="2"/>
    <x v="0"/>
    <x v="0"/>
    <n v="1033"/>
    <x v="0"/>
  </r>
  <r>
    <x v="16"/>
    <s v="JET"/>
    <x v="2"/>
    <x v="0"/>
    <x v="1"/>
    <n v="1078"/>
    <x v="0"/>
  </r>
  <r>
    <x v="16"/>
    <s v="JET"/>
    <x v="2"/>
    <x v="0"/>
    <x v="2"/>
    <n v="861"/>
    <x v="0"/>
  </r>
  <r>
    <x v="16"/>
    <s v="JET"/>
    <x v="2"/>
    <x v="0"/>
    <x v="3"/>
    <n v="844"/>
    <x v="0"/>
  </r>
  <r>
    <x v="16"/>
    <s v="JET"/>
    <x v="2"/>
    <x v="1"/>
    <x v="0"/>
    <n v="937"/>
    <x v="0"/>
  </r>
  <r>
    <x v="16"/>
    <s v="JET"/>
    <x v="2"/>
    <x v="1"/>
    <x v="1"/>
    <n v="1169"/>
    <x v="0"/>
  </r>
  <r>
    <x v="16"/>
    <s v="JET"/>
    <x v="2"/>
    <x v="1"/>
    <x v="2"/>
    <n v="1109"/>
    <x v="0"/>
  </r>
  <r>
    <x v="16"/>
    <s v="JET"/>
    <x v="2"/>
    <x v="1"/>
    <x v="3"/>
    <n v="1016"/>
    <x v="0"/>
  </r>
  <r>
    <x v="16"/>
    <s v="JET"/>
    <x v="2"/>
    <x v="2"/>
    <x v="0"/>
    <n v="872"/>
    <x v="0"/>
  </r>
  <r>
    <x v="16"/>
    <s v="JET"/>
    <x v="2"/>
    <x v="2"/>
    <x v="1"/>
    <n v="974"/>
    <x v="0"/>
  </r>
  <r>
    <x v="16"/>
    <s v="JET"/>
    <x v="2"/>
    <x v="2"/>
    <x v="2"/>
    <n v="1109"/>
    <x v="0"/>
  </r>
  <r>
    <x v="16"/>
    <s v="JET"/>
    <x v="2"/>
    <x v="2"/>
    <x v="3"/>
    <n v="1002"/>
    <x v="0"/>
  </r>
  <r>
    <x v="16"/>
    <s v="JET"/>
    <x v="2"/>
    <x v="3"/>
    <x v="0"/>
    <n v="1061"/>
    <x v="0"/>
  </r>
  <r>
    <x v="16"/>
    <s v="JET"/>
    <x v="2"/>
    <x v="3"/>
    <x v="1"/>
    <n v="1556"/>
    <x v="0"/>
  </r>
  <r>
    <x v="16"/>
    <s v="JET"/>
    <x v="2"/>
    <x v="3"/>
    <x v="2"/>
    <n v="1547"/>
    <x v="0"/>
  </r>
  <r>
    <x v="16"/>
    <s v="JET"/>
    <x v="2"/>
    <x v="3"/>
    <x v="3"/>
    <n v="1640"/>
    <x v="0"/>
  </r>
  <r>
    <x v="17"/>
    <s v="LHM"/>
    <x v="0"/>
    <x v="0"/>
    <x v="0"/>
    <n v="2077"/>
    <x v="0"/>
  </r>
  <r>
    <x v="17"/>
    <s v="LHM"/>
    <x v="0"/>
    <x v="0"/>
    <x v="1"/>
    <n v="1927"/>
    <x v="0"/>
  </r>
  <r>
    <x v="17"/>
    <s v="LHM"/>
    <x v="0"/>
    <x v="0"/>
    <x v="2"/>
    <n v="1898"/>
    <x v="0"/>
  </r>
  <r>
    <x v="17"/>
    <s v="LHM"/>
    <x v="0"/>
    <x v="0"/>
    <x v="3"/>
    <n v="2082"/>
    <x v="0"/>
  </r>
  <r>
    <x v="17"/>
    <s v="LHM"/>
    <x v="0"/>
    <x v="1"/>
    <x v="0"/>
    <n v="2131"/>
    <x v="0"/>
  </r>
  <r>
    <x v="17"/>
    <s v="LHM"/>
    <x v="0"/>
    <x v="1"/>
    <x v="1"/>
    <n v="1999"/>
    <x v="0"/>
  </r>
  <r>
    <x v="17"/>
    <s v="LHM"/>
    <x v="0"/>
    <x v="1"/>
    <x v="2"/>
    <n v="1952"/>
    <x v="0"/>
  </r>
  <r>
    <x v="17"/>
    <s v="LHM"/>
    <x v="0"/>
    <x v="1"/>
    <x v="3"/>
    <n v="2130"/>
    <x v="0"/>
  </r>
  <r>
    <x v="17"/>
    <s v="LHM"/>
    <x v="0"/>
    <x v="2"/>
    <x v="0"/>
    <n v="1884"/>
    <x v="0"/>
  </r>
  <r>
    <x v="17"/>
    <s v="LHM"/>
    <x v="0"/>
    <x v="2"/>
    <x v="1"/>
    <n v="1807"/>
    <x v="0"/>
  </r>
  <r>
    <x v="17"/>
    <s v="LHM"/>
    <x v="0"/>
    <x v="2"/>
    <x v="2"/>
    <n v="2110"/>
    <x v="0"/>
  </r>
  <r>
    <x v="17"/>
    <s v="LHM"/>
    <x v="0"/>
    <x v="2"/>
    <x v="3"/>
    <n v="2354"/>
    <x v="0"/>
  </r>
  <r>
    <x v="17"/>
    <s v="LHM"/>
    <x v="0"/>
    <x v="3"/>
    <x v="0"/>
    <n v="2048"/>
    <x v="0"/>
  </r>
  <r>
    <x v="17"/>
    <s v="LHM"/>
    <x v="0"/>
    <x v="3"/>
    <x v="1"/>
    <n v="2111"/>
    <x v="0"/>
  </r>
  <r>
    <x v="17"/>
    <s v="LHM"/>
    <x v="0"/>
    <x v="3"/>
    <x v="2"/>
    <n v="2367"/>
    <x v="0"/>
  </r>
  <r>
    <x v="17"/>
    <s v="LHM"/>
    <x v="0"/>
    <x v="3"/>
    <x v="3"/>
    <n v="2354"/>
    <x v="0"/>
  </r>
  <r>
    <x v="17"/>
    <s v="LHM"/>
    <x v="2"/>
    <x v="0"/>
    <x v="0"/>
    <n v="5142"/>
    <x v="0"/>
  </r>
  <r>
    <x v="17"/>
    <s v="LHM"/>
    <x v="2"/>
    <x v="0"/>
    <x v="1"/>
    <n v="6270"/>
    <x v="0"/>
  </r>
  <r>
    <x v="17"/>
    <s v="LHM"/>
    <x v="2"/>
    <x v="0"/>
    <x v="2"/>
    <n v="5998"/>
    <x v="0"/>
  </r>
  <r>
    <x v="17"/>
    <s v="LHM"/>
    <x v="2"/>
    <x v="0"/>
    <x v="3"/>
    <n v="5486"/>
    <x v="0"/>
  </r>
  <r>
    <x v="17"/>
    <s v="LHM"/>
    <x v="2"/>
    <x v="1"/>
    <x v="0"/>
    <n v="4887"/>
    <x v="0"/>
  </r>
  <r>
    <x v="17"/>
    <s v="LHM"/>
    <x v="2"/>
    <x v="1"/>
    <x v="1"/>
    <n v="4600"/>
    <x v="0"/>
  </r>
  <r>
    <x v="17"/>
    <s v="LHM"/>
    <x v="2"/>
    <x v="1"/>
    <x v="2"/>
    <n v="5439"/>
    <x v="0"/>
  </r>
  <r>
    <x v="17"/>
    <s v="LHM"/>
    <x v="2"/>
    <x v="1"/>
    <x v="3"/>
    <n v="4864"/>
    <x v="0"/>
  </r>
  <r>
    <x v="17"/>
    <s v="LHM"/>
    <x v="2"/>
    <x v="2"/>
    <x v="0"/>
    <n v="4622"/>
    <x v="0"/>
  </r>
  <r>
    <x v="17"/>
    <s v="LHM"/>
    <x v="2"/>
    <x v="2"/>
    <x v="1"/>
    <n v="5661"/>
    <x v="0"/>
  </r>
  <r>
    <x v="17"/>
    <s v="LHM"/>
    <x v="2"/>
    <x v="2"/>
    <x v="2"/>
    <n v="4832"/>
    <x v="0"/>
  </r>
  <r>
    <x v="17"/>
    <s v="LHM"/>
    <x v="2"/>
    <x v="2"/>
    <x v="3"/>
    <n v="4034"/>
    <x v="0"/>
  </r>
  <r>
    <x v="17"/>
    <s v="LHM"/>
    <x v="2"/>
    <x v="3"/>
    <x v="0"/>
    <n v="3876"/>
    <x v="0"/>
  </r>
  <r>
    <x v="17"/>
    <s v="LHM"/>
    <x v="2"/>
    <x v="3"/>
    <x v="1"/>
    <n v="4881"/>
    <x v="0"/>
  </r>
  <r>
    <x v="17"/>
    <s v="LHM"/>
    <x v="2"/>
    <x v="3"/>
    <x v="2"/>
    <n v="4004"/>
    <x v="0"/>
  </r>
  <r>
    <x v="17"/>
    <s v="LHM"/>
    <x v="2"/>
    <x v="3"/>
    <x v="3"/>
    <n v="4034"/>
    <x v="0"/>
  </r>
  <r>
    <x v="18"/>
    <s v="SID"/>
    <x v="0"/>
    <x v="0"/>
    <x v="0"/>
    <n v="1345"/>
    <x v="0"/>
  </r>
  <r>
    <x v="18"/>
    <s v="SID"/>
    <x v="0"/>
    <x v="0"/>
    <x v="1"/>
    <n v="1107"/>
    <x v="0"/>
  </r>
  <r>
    <x v="18"/>
    <s v="SID"/>
    <x v="0"/>
    <x v="0"/>
    <x v="2"/>
    <n v="1196"/>
    <x v="0"/>
  </r>
  <r>
    <x v="18"/>
    <s v="SID"/>
    <x v="0"/>
    <x v="0"/>
    <x v="3"/>
    <n v="1240"/>
    <x v="0"/>
  </r>
  <r>
    <x v="18"/>
    <s v="SID"/>
    <x v="0"/>
    <x v="1"/>
    <x v="0"/>
    <n v="1343"/>
    <x v="0"/>
  </r>
  <r>
    <x v="18"/>
    <s v="SID"/>
    <x v="0"/>
    <x v="1"/>
    <x v="1"/>
    <n v="1200"/>
    <x v="0"/>
  </r>
  <r>
    <x v="18"/>
    <s v="SID"/>
    <x v="0"/>
    <x v="1"/>
    <x v="2"/>
    <n v="1126"/>
    <x v="0"/>
  </r>
  <r>
    <x v="18"/>
    <s v="SID"/>
    <x v="0"/>
    <x v="1"/>
    <x v="3"/>
    <n v="1326"/>
    <x v="0"/>
  </r>
  <r>
    <x v="18"/>
    <s v="SID"/>
    <x v="0"/>
    <x v="2"/>
    <x v="0"/>
    <n v="1249"/>
    <x v="0"/>
  </r>
  <r>
    <x v="18"/>
    <s v="SID"/>
    <x v="0"/>
    <x v="2"/>
    <x v="1"/>
    <n v="1188"/>
    <x v="0"/>
  </r>
  <r>
    <x v="18"/>
    <s v="SID"/>
    <x v="0"/>
    <x v="2"/>
    <x v="2"/>
    <n v="1365"/>
    <x v="0"/>
  </r>
  <r>
    <x v="18"/>
    <s v="SID"/>
    <x v="0"/>
    <x v="2"/>
    <x v="3"/>
    <n v="1692"/>
    <x v="0"/>
  </r>
  <r>
    <x v="18"/>
    <s v="SID"/>
    <x v="0"/>
    <x v="3"/>
    <x v="0"/>
    <n v="1551"/>
    <x v="0"/>
  </r>
  <r>
    <x v="18"/>
    <s v="SID"/>
    <x v="0"/>
    <x v="3"/>
    <x v="1"/>
    <n v="1503"/>
    <x v="0"/>
  </r>
  <r>
    <x v="18"/>
    <s v="SID"/>
    <x v="0"/>
    <x v="3"/>
    <x v="2"/>
    <n v="1478"/>
    <x v="0"/>
  </r>
  <r>
    <x v="18"/>
    <s v="SID"/>
    <x v="0"/>
    <x v="3"/>
    <x v="3"/>
    <n v="1854"/>
    <x v="0"/>
  </r>
  <r>
    <x v="18"/>
    <s v="SID"/>
    <x v="1"/>
    <x v="0"/>
    <x v="0"/>
    <n v="1"/>
    <x v="0"/>
  </r>
  <r>
    <x v="18"/>
    <s v="SID"/>
    <x v="1"/>
    <x v="0"/>
    <x v="1"/>
    <n v="21"/>
    <x v="0"/>
  </r>
  <r>
    <x v="18"/>
    <s v="SID"/>
    <x v="1"/>
    <x v="0"/>
    <x v="2"/>
    <n v="24"/>
    <x v="0"/>
  </r>
  <r>
    <x v="18"/>
    <s v="SID"/>
    <x v="1"/>
    <x v="0"/>
    <x v="3"/>
    <n v="96"/>
    <x v="0"/>
  </r>
  <r>
    <x v="18"/>
    <s v="SID"/>
    <x v="1"/>
    <x v="1"/>
    <x v="0"/>
    <n v="15"/>
    <x v="0"/>
  </r>
  <r>
    <x v="18"/>
    <s v="SID"/>
    <x v="1"/>
    <x v="1"/>
    <x v="1"/>
    <n v="58"/>
    <x v="0"/>
  </r>
  <r>
    <x v="18"/>
    <s v="SID"/>
    <x v="1"/>
    <x v="1"/>
    <x v="2"/>
    <n v="17"/>
    <x v="0"/>
  </r>
  <r>
    <x v="18"/>
    <s v="SID"/>
    <x v="1"/>
    <x v="1"/>
    <x v="3"/>
    <n v="129"/>
    <x v="0"/>
  </r>
  <r>
    <x v="18"/>
    <s v="SID"/>
    <x v="1"/>
    <x v="2"/>
    <x v="0"/>
    <n v="12"/>
    <x v="0"/>
  </r>
  <r>
    <x v="18"/>
    <s v="SID"/>
    <x v="1"/>
    <x v="2"/>
    <x v="1"/>
    <n v="62"/>
    <x v="0"/>
  </r>
  <r>
    <x v="18"/>
    <s v="SID"/>
    <x v="1"/>
    <x v="2"/>
    <x v="2"/>
    <n v="32"/>
    <x v="0"/>
  </r>
  <r>
    <x v="18"/>
    <s v="SID"/>
    <x v="1"/>
    <x v="2"/>
    <x v="3"/>
    <n v="91"/>
    <x v="0"/>
  </r>
  <r>
    <x v="18"/>
    <s v="SID"/>
    <x v="1"/>
    <x v="3"/>
    <x v="0"/>
    <n v="40"/>
    <x v="0"/>
  </r>
  <r>
    <x v="18"/>
    <s v="SID"/>
    <x v="1"/>
    <x v="3"/>
    <x v="1"/>
    <n v="60"/>
    <x v="0"/>
  </r>
  <r>
    <x v="18"/>
    <s v="SID"/>
    <x v="1"/>
    <x v="3"/>
    <x v="2"/>
    <n v="52"/>
    <x v="0"/>
  </r>
  <r>
    <x v="18"/>
    <s v="SID"/>
    <x v="1"/>
    <x v="3"/>
    <x v="3"/>
    <n v="125"/>
    <x v="0"/>
  </r>
  <r>
    <x v="18"/>
    <s v="SID"/>
    <x v="2"/>
    <x v="0"/>
    <x v="0"/>
    <n v="-974"/>
    <x v="0"/>
  </r>
  <r>
    <x v="18"/>
    <s v="SID"/>
    <x v="2"/>
    <x v="0"/>
    <x v="1"/>
    <n v="-816"/>
    <x v="0"/>
  </r>
  <r>
    <x v="18"/>
    <s v="SID"/>
    <x v="2"/>
    <x v="0"/>
    <x v="2"/>
    <n v="-878"/>
    <x v="0"/>
  </r>
  <r>
    <x v="18"/>
    <s v="SID"/>
    <x v="2"/>
    <x v="0"/>
    <x v="3"/>
    <n v="-852"/>
    <x v="0"/>
  </r>
  <r>
    <x v="18"/>
    <s v="SID"/>
    <x v="2"/>
    <x v="1"/>
    <x v="0"/>
    <n v="-928"/>
    <x v="0"/>
  </r>
  <r>
    <x v="18"/>
    <s v="SID"/>
    <x v="2"/>
    <x v="1"/>
    <x v="1"/>
    <n v="-778"/>
    <x v="0"/>
  </r>
  <r>
    <x v="18"/>
    <s v="SID"/>
    <x v="2"/>
    <x v="1"/>
    <x v="2"/>
    <n v="-702"/>
    <x v="0"/>
  </r>
  <r>
    <x v="18"/>
    <s v="SID"/>
    <x v="2"/>
    <x v="1"/>
    <x v="3"/>
    <n v="-768"/>
    <x v="0"/>
  </r>
  <r>
    <x v="18"/>
    <s v="SID"/>
    <x v="2"/>
    <x v="2"/>
    <x v="0"/>
    <n v="-769"/>
    <x v="0"/>
  </r>
  <r>
    <x v="18"/>
    <s v="SID"/>
    <x v="2"/>
    <x v="2"/>
    <x v="1"/>
    <n v="-532"/>
    <x v="0"/>
  </r>
  <r>
    <x v="18"/>
    <s v="SID"/>
    <x v="2"/>
    <x v="2"/>
    <x v="2"/>
    <n v="-656"/>
    <x v="0"/>
  </r>
  <r>
    <x v="18"/>
    <s v="SID"/>
    <x v="2"/>
    <x v="2"/>
    <x v="3"/>
    <n v="-722"/>
    <x v="0"/>
  </r>
  <r>
    <x v="18"/>
    <s v="SID"/>
    <x v="2"/>
    <x v="3"/>
    <x v="0"/>
    <n v="-572"/>
    <x v="0"/>
  </r>
  <r>
    <x v="18"/>
    <s v="SID"/>
    <x v="2"/>
    <x v="3"/>
    <x v="1"/>
    <n v="-341"/>
    <x v="0"/>
  </r>
  <r>
    <x v="18"/>
    <s v="SID"/>
    <x v="2"/>
    <x v="3"/>
    <x v="2"/>
    <n v="-413"/>
    <x v="0"/>
  </r>
  <r>
    <x v="18"/>
    <s v="SID"/>
    <x v="2"/>
    <x v="3"/>
    <x v="3"/>
    <n v="-400"/>
    <x v="0"/>
  </r>
  <r>
    <x v="19"/>
    <s v="TGC"/>
    <x v="0"/>
    <x v="0"/>
    <x v="0"/>
    <n v="1128"/>
    <x v="0"/>
  </r>
  <r>
    <x v="19"/>
    <s v="TGC"/>
    <x v="0"/>
    <x v="0"/>
    <x v="1"/>
    <n v="1122"/>
    <x v="0"/>
  </r>
  <r>
    <x v="19"/>
    <s v="TGC"/>
    <x v="0"/>
    <x v="0"/>
    <x v="2"/>
    <n v="1111"/>
    <x v="0"/>
  </r>
  <r>
    <x v="19"/>
    <s v="TGC"/>
    <x v="0"/>
    <x v="0"/>
    <x v="3"/>
    <n v="1700"/>
    <x v="0"/>
  </r>
  <r>
    <x v="19"/>
    <s v="TGC"/>
    <x v="0"/>
    <x v="1"/>
    <x v="0"/>
    <n v="1228"/>
    <x v="0"/>
  </r>
  <r>
    <x v="19"/>
    <s v="TGC"/>
    <x v="0"/>
    <x v="1"/>
    <x v="1"/>
    <n v="1685"/>
    <x v="0"/>
  </r>
  <r>
    <x v="19"/>
    <s v="TGC"/>
    <x v="0"/>
    <x v="1"/>
    <x v="2"/>
    <n v="1979"/>
    <x v="0"/>
  </r>
  <r>
    <x v="19"/>
    <s v="TGC"/>
    <x v="0"/>
    <x v="1"/>
    <x v="3"/>
    <n v="2213"/>
    <x v="0"/>
  </r>
  <r>
    <x v="19"/>
    <s v="TGC"/>
    <x v="0"/>
    <x v="2"/>
    <x v="0"/>
    <n v="1709"/>
    <x v="0"/>
  </r>
  <r>
    <x v="19"/>
    <s v="TGC"/>
    <x v="0"/>
    <x v="2"/>
    <x v="1"/>
    <n v="2078"/>
    <x v="0"/>
  </r>
  <r>
    <x v="19"/>
    <s v="TGC"/>
    <x v="0"/>
    <x v="2"/>
    <x v="2"/>
    <n v="2015"/>
    <x v="0"/>
  </r>
  <r>
    <x v="19"/>
    <s v="TGC"/>
    <x v="0"/>
    <x v="2"/>
    <x v="3"/>
    <n v="2246"/>
    <x v="0"/>
  </r>
  <r>
    <x v="19"/>
    <s v="TGC"/>
    <x v="0"/>
    <x v="3"/>
    <x v="0"/>
    <n v="1845"/>
    <x v="0"/>
  </r>
  <r>
    <x v="19"/>
    <s v="TGC"/>
    <x v="0"/>
    <x v="3"/>
    <x v="1"/>
    <n v="3124"/>
    <x v="0"/>
  </r>
  <r>
    <x v="19"/>
    <s v="TGC"/>
    <x v="0"/>
    <x v="3"/>
    <x v="2"/>
    <n v="3201"/>
    <x v="0"/>
  </r>
  <r>
    <x v="19"/>
    <s v="TGC"/>
    <x v="0"/>
    <x v="3"/>
    <x v="3"/>
    <n v="3662"/>
    <x v="0"/>
  </r>
  <r>
    <x v="19"/>
    <s v="TGC"/>
    <x v="1"/>
    <x v="0"/>
    <x v="0"/>
    <n v="19"/>
    <x v="0"/>
  </r>
  <r>
    <x v="19"/>
    <s v="TGC"/>
    <x v="1"/>
    <x v="0"/>
    <x v="1"/>
    <n v="21"/>
    <x v="0"/>
  </r>
  <r>
    <x v="19"/>
    <s v="TGC"/>
    <x v="1"/>
    <x v="0"/>
    <x v="2"/>
    <n v="32"/>
    <x v="0"/>
  </r>
  <r>
    <x v="19"/>
    <s v="TGC"/>
    <x v="1"/>
    <x v="0"/>
    <x v="3"/>
    <n v="52"/>
    <x v="0"/>
  </r>
  <r>
    <x v="19"/>
    <s v="TGC"/>
    <x v="1"/>
    <x v="1"/>
    <x v="0"/>
    <n v="77"/>
    <x v="0"/>
  </r>
  <r>
    <x v="19"/>
    <s v="TGC"/>
    <x v="1"/>
    <x v="1"/>
    <x v="1"/>
    <n v="90"/>
    <x v="0"/>
  </r>
  <r>
    <x v="19"/>
    <s v="TGC"/>
    <x v="1"/>
    <x v="1"/>
    <x v="2"/>
    <n v="87"/>
    <x v="0"/>
  </r>
  <r>
    <x v="19"/>
    <s v="TGC"/>
    <x v="1"/>
    <x v="1"/>
    <x v="3"/>
    <n v="54"/>
    <x v="0"/>
  </r>
  <r>
    <x v="19"/>
    <s v="TGC"/>
    <x v="1"/>
    <x v="2"/>
    <x v="0"/>
    <n v="46"/>
    <x v="0"/>
  </r>
  <r>
    <x v="19"/>
    <s v="TGC"/>
    <x v="1"/>
    <x v="2"/>
    <x v="1"/>
    <n v="32"/>
    <x v="0"/>
  </r>
  <r>
    <x v="19"/>
    <s v="TGC"/>
    <x v="1"/>
    <x v="2"/>
    <x v="2"/>
    <n v="46"/>
    <x v="0"/>
  </r>
  <r>
    <x v="19"/>
    <s v="TGC"/>
    <x v="1"/>
    <x v="2"/>
    <x v="3"/>
    <n v="49"/>
    <x v="0"/>
  </r>
  <r>
    <x v="19"/>
    <s v="TGC"/>
    <x v="1"/>
    <x v="3"/>
    <x v="0"/>
    <n v="99"/>
    <x v="0"/>
  </r>
  <r>
    <x v="19"/>
    <s v="TGC"/>
    <x v="1"/>
    <x v="3"/>
    <x v="1"/>
    <n v="107"/>
    <x v="0"/>
  </r>
  <r>
    <x v="19"/>
    <s v="TGC"/>
    <x v="1"/>
    <x v="3"/>
    <x v="2"/>
    <n v="325"/>
    <x v="0"/>
  </r>
  <r>
    <x v="19"/>
    <s v="TGC"/>
    <x v="1"/>
    <x v="3"/>
    <x v="3"/>
    <n v="78"/>
    <x v="0"/>
  </r>
  <r>
    <x v="19"/>
    <s v="TGC"/>
    <x v="2"/>
    <x v="0"/>
    <x v="0"/>
    <n v="696"/>
    <x v="0"/>
  </r>
  <r>
    <x v="19"/>
    <s v="TGC"/>
    <x v="2"/>
    <x v="0"/>
    <x v="1"/>
    <n v="907"/>
    <x v="0"/>
  </r>
  <r>
    <x v="19"/>
    <s v="TGC"/>
    <x v="2"/>
    <x v="0"/>
    <x v="2"/>
    <n v="884"/>
    <x v="0"/>
  </r>
  <r>
    <x v="19"/>
    <s v="TGC"/>
    <x v="2"/>
    <x v="0"/>
    <x v="3"/>
    <n v="664"/>
    <x v="0"/>
  </r>
  <r>
    <x v="19"/>
    <s v="TGC"/>
    <x v="2"/>
    <x v="1"/>
    <x v="0"/>
    <n v="892"/>
    <x v="0"/>
  </r>
  <r>
    <x v="19"/>
    <s v="TGC"/>
    <x v="2"/>
    <x v="1"/>
    <x v="1"/>
    <n v="798"/>
    <x v="0"/>
  </r>
  <r>
    <x v="19"/>
    <s v="TGC"/>
    <x v="2"/>
    <x v="1"/>
    <x v="2"/>
    <n v="981"/>
    <x v="0"/>
  </r>
  <r>
    <x v="19"/>
    <s v="TGC"/>
    <x v="2"/>
    <x v="1"/>
    <x v="3"/>
    <n v="979"/>
    <x v="0"/>
  </r>
  <r>
    <x v="19"/>
    <s v="TGC"/>
    <x v="2"/>
    <x v="2"/>
    <x v="0"/>
    <n v="890"/>
    <x v="0"/>
  </r>
  <r>
    <x v="19"/>
    <s v="TGC"/>
    <x v="2"/>
    <x v="2"/>
    <x v="1"/>
    <n v="-1135"/>
    <x v="0"/>
  </r>
  <r>
    <x v="19"/>
    <s v="TGC"/>
    <x v="2"/>
    <x v="2"/>
    <x v="2"/>
    <n v="111"/>
    <x v="0"/>
  </r>
  <r>
    <x v="19"/>
    <s v="TGC"/>
    <x v="2"/>
    <x v="2"/>
    <x v="3"/>
    <n v="675"/>
    <x v="0"/>
  </r>
  <r>
    <x v="19"/>
    <s v="TGC"/>
    <x v="2"/>
    <x v="3"/>
    <x v="0"/>
    <n v="739"/>
    <x v="0"/>
  </r>
  <r>
    <x v="19"/>
    <s v="TGC"/>
    <x v="2"/>
    <x v="3"/>
    <x v="1"/>
    <n v="3062"/>
    <x v="0"/>
  </r>
  <r>
    <x v="19"/>
    <s v="TGC"/>
    <x v="2"/>
    <x v="3"/>
    <x v="2"/>
    <n v="1205"/>
    <x v="0"/>
  </r>
  <r>
    <x v="19"/>
    <s v="TGC"/>
    <x v="2"/>
    <x v="3"/>
    <x v="3"/>
    <n v="610"/>
    <x v="0"/>
  </r>
  <r>
    <x v="20"/>
    <s v="GTM"/>
    <x v="0"/>
    <x v="3"/>
    <x v="3"/>
    <n v="4886"/>
    <x v="0"/>
  </r>
  <r>
    <x v="20"/>
    <s v="GTM"/>
    <x v="1"/>
    <x v="3"/>
    <x v="3"/>
    <n v="306"/>
    <x v="0"/>
  </r>
  <r>
    <x v="20"/>
    <s v="GTM"/>
    <x v="2"/>
    <x v="3"/>
    <x v="3"/>
    <n v="156"/>
    <x v="0"/>
  </r>
  <r>
    <x v="21"/>
    <s v="LBV"/>
    <x v="0"/>
    <x v="0"/>
    <x v="0"/>
    <n v="2988"/>
    <x v="0"/>
  </r>
  <r>
    <x v="21"/>
    <s v="LBV"/>
    <x v="0"/>
    <x v="0"/>
    <x v="1"/>
    <n v="3213"/>
    <x v="0"/>
  </r>
  <r>
    <x v="21"/>
    <s v="LBV"/>
    <x v="0"/>
    <x v="0"/>
    <x v="2"/>
    <n v="4016"/>
    <x v="0"/>
  </r>
  <r>
    <x v="21"/>
    <s v="LBV"/>
    <x v="0"/>
    <x v="0"/>
    <x v="3"/>
    <n v="3729"/>
    <x v="0"/>
  </r>
  <r>
    <x v="21"/>
    <s v="LBV"/>
    <x v="0"/>
    <x v="1"/>
    <x v="0"/>
    <n v="3777"/>
    <x v="0"/>
  </r>
  <r>
    <x v="21"/>
    <s v="LBV"/>
    <x v="0"/>
    <x v="1"/>
    <x v="1"/>
    <n v="3756"/>
    <x v="0"/>
  </r>
  <r>
    <x v="21"/>
    <s v="LBV"/>
    <x v="0"/>
    <x v="1"/>
    <x v="2"/>
    <n v="4294"/>
    <x v="0"/>
  </r>
  <r>
    <x v="21"/>
    <s v="LBV"/>
    <x v="0"/>
    <x v="1"/>
    <x v="3"/>
    <n v="3973"/>
    <x v="0"/>
  </r>
  <r>
    <x v="21"/>
    <s v="LBV"/>
    <x v="0"/>
    <x v="2"/>
    <x v="0"/>
    <n v="3825"/>
    <x v="0"/>
  </r>
  <r>
    <x v="21"/>
    <s v="LBV"/>
    <x v="0"/>
    <x v="2"/>
    <x v="1"/>
    <n v="3958"/>
    <x v="0"/>
  </r>
  <r>
    <x v="21"/>
    <s v="LBV"/>
    <x v="0"/>
    <x v="2"/>
    <x v="2"/>
    <n v="4308"/>
    <x v="0"/>
  </r>
  <r>
    <x v="21"/>
    <s v="LBV"/>
    <x v="0"/>
    <x v="2"/>
    <x v="3"/>
    <n v="4327"/>
    <x v="0"/>
  </r>
  <r>
    <x v="21"/>
    <s v="LBV"/>
    <x v="0"/>
    <x v="3"/>
    <x v="0"/>
    <n v="4158"/>
    <x v="0"/>
  </r>
  <r>
    <x v="21"/>
    <s v="LBV"/>
    <x v="0"/>
    <x v="3"/>
    <x v="1"/>
    <n v="4569"/>
    <x v="0"/>
  </r>
  <r>
    <x v="21"/>
    <s v="LBV"/>
    <x v="0"/>
    <x v="3"/>
    <x v="2"/>
    <n v="4867"/>
    <x v="0"/>
  </r>
  <r>
    <x v="21"/>
    <s v="LBV"/>
    <x v="0"/>
    <x v="3"/>
    <x v="3"/>
    <n v="4940"/>
    <x v="0"/>
  </r>
  <r>
    <x v="21"/>
    <s v="LBV"/>
    <x v="1"/>
    <x v="0"/>
    <x v="0"/>
    <n v="207"/>
    <x v="0"/>
  </r>
  <r>
    <x v="21"/>
    <s v="LBV"/>
    <x v="1"/>
    <x v="0"/>
    <x v="1"/>
    <n v="311"/>
    <x v="0"/>
  </r>
  <r>
    <x v="21"/>
    <s v="LBV"/>
    <x v="1"/>
    <x v="0"/>
    <x v="2"/>
    <n v="291"/>
    <x v="0"/>
  </r>
  <r>
    <x v="21"/>
    <s v="LBV"/>
    <x v="1"/>
    <x v="0"/>
    <x v="3"/>
    <n v="364"/>
    <x v="0"/>
  </r>
  <r>
    <x v="21"/>
    <s v="LBV"/>
    <x v="1"/>
    <x v="1"/>
    <x v="0"/>
    <n v="279"/>
    <x v="0"/>
  </r>
  <r>
    <x v="21"/>
    <s v="LBV"/>
    <x v="1"/>
    <x v="1"/>
    <x v="1"/>
    <n v="303"/>
    <x v="0"/>
  </r>
  <r>
    <x v="21"/>
    <s v="LBV"/>
    <x v="1"/>
    <x v="1"/>
    <x v="2"/>
    <n v="302"/>
    <x v="0"/>
  </r>
  <r>
    <x v="21"/>
    <s v="LBV"/>
    <x v="1"/>
    <x v="1"/>
    <x v="3"/>
    <n v="335"/>
    <x v="0"/>
  </r>
  <r>
    <x v="21"/>
    <s v="LBV"/>
    <x v="1"/>
    <x v="2"/>
    <x v="0"/>
    <n v="328"/>
    <x v="0"/>
  </r>
  <r>
    <x v="21"/>
    <s v="LBV"/>
    <x v="1"/>
    <x v="2"/>
    <x v="1"/>
    <n v="-222"/>
    <x v="0"/>
  </r>
  <r>
    <x v="21"/>
    <s v="LBV"/>
    <x v="1"/>
    <x v="2"/>
    <x v="2"/>
    <n v="284"/>
    <x v="0"/>
  </r>
  <r>
    <x v="21"/>
    <s v="LBV"/>
    <x v="1"/>
    <x v="2"/>
    <x v="3"/>
    <n v="520"/>
    <x v="0"/>
  </r>
  <r>
    <x v="21"/>
    <s v="LBV"/>
    <x v="1"/>
    <x v="3"/>
    <x v="0"/>
    <n v="331"/>
    <x v="0"/>
  </r>
  <r>
    <x v="21"/>
    <s v="LBV"/>
    <x v="1"/>
    <x v="3"/>
    <x v="1"/>
    <n v="420"/>
    <x v="0"/>
  </r>
  <r>
    <x v="21"/>
    <s v="LBV"/>
    <x v="1"/>
    <x v="3"/>
    <x v="2"/>
    <n v="453"/>
    <x v="0"/>
  </r>
  <r>
    <x v="21"/>
    <s v="LBV"/>
    <x v="1"/>
    <x v="3"/>
    <x v="3"/>
    <n v="2"/>
    <x v="0"/>
  </r>
  <r>
    <x v="21"/>
    <s v="LBV"/>
    <x v="2"/>
    <x v="0"/>
    <x v="0"/>
    <n v="3082"/>
    <x v="0"/>
  </r>
  <r>
    <x v="21"/>
    <s v="LBV"/>
    <x v="2"/>
    <x v="0"/>
    <x v="1"/>
    <n v="3131"/>
    <x v="0"/>
  </r>
  <r>
    <x v="21"/>
    <s v="LBV"/>
    <x v="2"/>
    <x v="0"/>
    <x v="2"/>
    <n v="2923"/>
    <x v="0"/>
  </r>
  <r>
    <x v="21"/>
    <s v="LBV"/>
    <x v="2"/>
    <x v="0"/>
    <x v="3"/>
    <n v="3176"/>
    <x v="0"/>
  </r>
  <r>
    <x v="21"/>
    <s v="LBV"/>
    <x v="2"/>
    <x v="1"/>
    <x v="0"/>
    <n v="3453"/>
    <x v="0"/>
  </r>
  <r>
    <x v="21"/>
    <s v="LBV"/>
    <x v="2"/>
    <x v="1"/>
    <x v="1"/>
    <n v="3455"/>
    <x v="0"/>
  </r>
  <r>
    <x v="21"/>
    <s v="LBV"/>
    <x v="2"/>
    <x v="1"/>
    <x v="2"/>
    <n v="3404"/>
    <x v="0"/>
  </r>
  <r>
    <x v="21"/>
    <s v="LBV"/>
    <x v="2"/>
    <x v="1"/>
    <x v="3"/>
    <n v="3789"/>
    <x v="0"/>
  </r>
  <r>
    <x v="21"/>
    <s v="LBV"/>
    <x v="2"/>
    <x v="2"/>
    <x v="0"/>
    <n v="4428"/>
    <x v="0"/>
  </r>
  <r>
    <x v="21"/>
    <s v="LBV"/>
    <x v="2"/>
    <x v="2"/>
    <x v="1"/>
    <n v="3869"/>
    <x v="0"/>
  </r>
  <r>
    <x v="21"/>
    <s v="LBV"/>
    <x v="2"/>
    <x v="2"/>
    <x v="2"/>
    <n v="3853"/>
    <x v="0"/>
  </r>
  <r>
    <x v="21"/>
    <s v="LBV"/>
    <x v="2"/>
    <x v="2"/>
    <x v="3"/>
    <n v="3973"/>
    <x v="0"/>
  </r>
  <r>
    <x v="21"/>
    <s v="LBV"/>
    <x v="2"/>
    <x v="3"/>
    <x v="0"/>
    <n v="4307"/>
    <x v="0"/>
  </r>
  <r>
    <x v="21"/>
    <s v="LBV"/>
    <x v="2"/>
    <x v="3"/>
    <x v="1"/>
    <n v="4114"/>
    <x v="0"/>
  </r>
  <r>
    <x v="21"/>
    <s v="LBV"/>
    <x v="2"/>
    <x v="3"/>
    <x v="2"/>
    <n v="4317"/>
    <x v="0"/>
  </r>
  <r>
    <x v="21"/>
    <s v="LBV"/>
    <x v="2"/>
    <x v="3"/>
    <x v="3"/>
    <n v="4606"/>
    <x v="0"/>
  </r>
  <r>
    <x v="22"/>
    <s v="TQM"/>
    <x v="0"/>
    <x v="0"/>
    <x v="0"/>
    <n v="2658"/>
    <x v="0"/>
  </r>
  <r>
    <x v="22"/>
    <s v="TQM"/>
    <x v="0"/>
    <x v="0"/>
    <x v="1"/>
    <n v="3249"/>
    <x v="0"/>
  </r>
  <r>
    <x v="22"/>
    <s v="TQM"/>
    <x v="0"/>
    <x v="0"/>
    <x v="2"/>
    <n v="3839"/>
    <x v="0"/>
  </r>
  <r>
    <x v="22"/>
    <s v="TQM"/>
    <x v="0"/>
    <x v="0"/>
    <x v="3"/>
    <n v="3859"/>
    <x v="0"/>
  </r>
  <r>
    <x v="22"/>
    <s v="TQM"/>
    <x v="0"/>
    <x v="1"/>
    <x v="0"/>
    <n v="4090"/>
    <x v="0"/>
  </r>
  <r>
    <x v="22"/>
    <s v="TQM"/>
    <x v="0"/>
    <x v="1"/>
    <x v="1"/>
    <n v="3359"/>
    <x v="0"/>
  </r>
  <r>
    <x v="22"/>
    <s v="TQM"/>
    <x v="0"/>
    <x v="1"/>
    <x v="2"/>
    <n v="2983"/>
    <x v="0"/>
  </r>
  <r>
    <x v="22"/>
    <s v="TQM"/>
    <x v="0"/>
    <x v="1"/>
    <x v="3"/>
    <n v="2760"/>
    <x v="0"/>
  </r>
  <r>
    <x v="22"/>
    <s v="TQM"/>
    <x v="0"/>
    <x v="2"/>
    <x v="0"/>
    <n v="2959"/>
    <x v="0"/>
  </r>
  <r>
    <x v="22"/>
    <s v="TQM"/>
    <x v="0"/>
    <x v="2"/>
    <x v="1"/>
    <n v="2692"/>
    <x v="0"/>
  </r>
  <r>
    <x v="22"/>
    <s v="TQM"/>
    <x v="0"/>
    <x v="2"/>
    <x v="2"/>
    <n v="2483"/>
    <x v="0"/>
  </r>
  <r>
    <x v="22"/>
    <s v="TQM"/>
    <x v="0"/>
    <x v="2"/>
    <x v="3"/>
    <n v="2744"/>
    <x v="0"/>
  </r>
  <r>
    <x v="22"/>
    <s v="TQM"/>
    <x v="0"/>
    <x v="3"/>
    <x v="0"/>
    <n v="2943"/>
    <x v="0"/>
  </r>
  <r>
    <x v="22"/>
    <s v="TQM"/>
    <x v="0"/>
    <x v="3"/>
    <x v="1"/>
    <n v="2437"/>
    <x v="0"/>
  </r>
  <r>
    <x v="22"/>
    <s v="TQM"/>
    <x v="0"/>
    <x v="3"/>
    <x v="2"/>
    <n v="2578"/>
    <x v="0"/>
  </r>
  <r>
    <x v="22"/>
    <s v="TQM"/>
    <x v="0"/>
    <x v="3"/>
    <x v="3"/>
    <n v="2680"/>
    <x v="0"/>
  </r>
  <r>
    <x v="22"/>
    <s v="TQM"/>
    <x v="1"/>
    <x v="0"/>
    <x v="0"/>
    <n v="92"/>
    <x v="0"/>
  </r>
  <r>
    <x v="22"/>
    <s v="TQM"/>
    <x v="1"/>
    <x v="0"/>
    <x v="1"/>
    <n v="6"/>
    <x v="0"/>
  </r>
  <r>
    <x v="22"/>
    <s v="TQM"/>
    <x v="1"/>
    <x v="0"/>
    <x v="2"/>
    <n v="21"/>
    <x v="0"/>
  </r>
  <r>
    <x v="22"/>
    <s v="TQM"/>
    <x v="1"/>
    <x v="0"/>
    <x v="3"/>
    <n v="123"/>
    <x v="0"/>
  </r>
  <r>
    <x v="22"/>
    <s v="TQM"/>
    <x v="1"/>
    <x v="1"/>
    <x v="0"/>
    <n v="15"/>
    <x v="0"/>
  </r>
  <r>
    <x v="22"/>
    <s v="TQM"/>
    <x v="1"/>
    <x v="1"/>
    <x v="1"/>
    <n v="6"/>
    <x v="0"/>
  </r>
  <r>
    <x v="22"/>
    <s v="TQM"/>
    <x v="1"/>
    <x v="1"/>
    <x v="2"/>
    <n v="108"/>
    <x v="0"/>
  </r>
  <r>
    <x v="22"/>
    <s v="TQM"/>
    <x v="1"/>
    <x v="1"/>
    <x v="3"/>
    <n v="214"/>
    <x v="0"/>
  </r>
  <r>
    <x v="22"/>
    <s v="TQM"/>
    <x v="1"/>
    <x v="2"/>
    <x v="0"/>
    <n v="22"/>
    <x v="0"/>
  </r>
  <r>
    <x v="22"/>
    <s v="TQM"/>
    <x v="1"/>
    <x v="2"/>
    <x v="1"/>
    <n v="49"/>
    <x v="0"/>
  </r>
  <r>
    <x v="22"/>
    <s v="TQM"/>
    <x v="1"/>
    <x v="2"/>
    <x v="2"/>
    <n v="93"/>
    <x v="0"/>
  </r>
  <r>
    <x v="22"/>
    <s v="TQM"/>
    <x v="1"/>
    <x v="2"/>
    <x v="3"/>
    <n v="129"/>
    <x v="0"/>
  </r>
  <r>
    <x v="22"/>
    <s v="TQM"/>
    <x v="1"/>
    <x v="3"/>
    <x v="0"/>
    <n v="39"/>
    <x v="0"/>
  </r>
  <r>
    <x v="22"/>
    <s v="TQM"/>
    <x v="1"/>
    <x v="3"/>
    <x v="1"/>
    <n v="170"/>
    <x v="0"/>
  </r>
  <r>
    <x v="22"/>
    <s v="TQM"/>
    <x v="1"/>
    <x v="3"/>
    <x v="2"/>
    <n v="15"/>
    <x v="0"/>
  </r>
  <r>
    <x v="22"/>
    <s v="TQM"/>
    <x v="1"/>
    <x v="3"/>
    <x v="3"/>
    <n v="40"/>
    <x v="0"/>
  </r>
  <r>
    <x v="22"/>
    <s v="TQM"/>
    <x v="2"/>
    <x v="0"/>
    <x v="0"/>
    <n v="6835"/>
    <x v="0"/>
  </r>
  <r>
    <x v="22"/>
    <s v="TQM"/>
    <x v="2"/>
    <x v="0"/>
    <x v="1"/>
    <n v="6868"/>
    <x v="0"/>
  </r>
  <r>
    <x v="22"/>
    <s v="TQM"/>
    <x v="2"/>
    <x v="0"/>
    <x v="2"/>
    <n v="7175"/>
    <x v="0"/>
  </r>
  <r>
    <x v="22"/>
    <s v="TQM"/>
    <x v="2"/>
    <x v="0"/>
    <x v="3"/>
    <n v="6171"/>
    <x v="0"/>
  </r>
  <r>
    <x v="22"/>
    <s v="TQM"/>
    <x v="2"/>
    <x v="1"/>
    <x v="0"/>
    <n v="4774"/>
    <x v="0"/>
  </r>
  <r>
    <x v="22"/>
    <s v="TQM"/>
    <x v="2"/>
    <x v="1"/>
    <x v="1"/>
    <n v="4420"/>
    <x v="0"/>
  </r>
  <r>
    <x v="22"/>
    <s v="TQM"/>
    <x v="2"/>
    <x v="1"/>
    <x v="2"/>
    <n v="5935"/>
    <x v="0"/>
  </r>
  <r>
    <x v="22"/>
    <s v="TQM"/>
    <x v="2"/>
    <x v="1"/>
    <x v="3"/>
    <n v="5522"/>
    <x v="0"/>
  </r>
  <r>
    <x v="22"/>
    <s v="TQM"/>
    <x v="2"/>
    <x v="2"/>
    <x v="0"/>
    <n v="4401"/>
    <x v="0"/>
  </r>
  <r>
    <x v="22"/>
    <s v="TQM"/>
    <x v="2"/>
    <x v="2"/>
    <x v="1"/>
    <n v="6592"/>
    <x v="0"/>
  </r>
  <r>
    <x v="22"/>
    <s v="TQM"/>
    <x v="2"/>
    <x v="2"/>
    <x v="2"/>
    <n v="4649"/>
    <x v="0"/>
  </r>
  <r>
    <x v="22"/>
    <s v="TQM"/>
    <x v="2"/>
    <x v="2"/>
    <x v="3"/>
    <n v="5582"/>
    <x v="0"/>
  </r>
  <r>
    <x v="22"/>
    <s v="TQM"/>
    <x v="2"/>
    <x v="3"/>
    <x v="0"/>
    <n v="4759"/>
    <x v="0"/>
  </r>
  <r>
    <x v="22"/>
    <s v="TQM"/>
    <x v="2"/>
    <x v="3"/>
    <x v="1"/>
    <n v="5140"/>
    <x v="0"/>
  </r>
  <r>
    <x v="22"/>
    <s v="TQM"/>
    <x v="2"/>
    <x v="3"/>
    <x v="2"/>
    <n v="5852"/>
    <x v="0"/>
  </r>
  <r>
    <x v="22"/>
    <s v="TQM"/>
    <x v="2"/>
    <x v="3"/>
    <x v="3"/>
    <n v="5293"/>
    <x v="0"/>
  </r>
  <r>
    <x v="23"/>
    <s v="GAZ"/>
    <x v="0"/>
    <x v="0"/>
    <x v="0"/>
    <n v="2250"/>
    <x v="0"/>
  </r>
  <r>
    <x v="23"/>
    <s v="GAZ"/>
    <x v="0"/>
    <x v="0"/>
    <x v="1"/>
    <n v="2977"/>
    <x v="0"/>
  </r>
  <r>
    <x v="23"/>
    <s v="GAZ"/>
    <x v="0"/>
    <x v="0"/>
    <x v="2"/>
    <n v="2245"/>
    <x v="0"/>
  </r>
  <r>
    <x v="23"/>
    <s v="GAZ"/>
    <x v="0"/>
    <x v="0"/>
    <x v="3"/>
    <n v="2038"/>
    <x v="0"/>
  </r>
  <r>
    <x v="23"/>
    <s v="GAZ"/>
    <x v="0"/>
    <x v="1"/>
    <x v="0"/>
    <n v="2449"/>
    <x v="0"/>
  </r>
  <r>
    <x v="23"/>
    <s v="GAZ"/>
    <x v="0"/>
    <x v="1"/>
    <x v="1"/>
    <n v="1983"/>
    <x v="0"/>
  </r>
  <r>
    <x v="23"/>
    <s v="GAZ"/>
    <x v="0"/>
    <x v="1"/>
    <x v="2"/>
    <n v="1766"/>
    <x v="0"/>
  </r>
  <r>
    <x v="23"/>
    <s v="GAZ"/>
    <x v="0"/>
    <x v="1"/>
    <x v="3"/>
    <n v="2059"/>
    <x v="0"/>
  </r>
  <r>
    <x v="23"/>
    <s v="GAZ"/>
    <x v="0"/>
    <x v="2"/>
    <x v="0"/>
    <n v="2046"/>
    <x v="0"/>
  </r>
  <r>
    <x v="23"/>
    <s v="GAZ"/>
    <x v="0"/>
    <x v="2"/>
    <x v="1"/>
    <n v="2183"/>
    <x v="0"/>
  </r>
  <r>
    <x v="23"/>
    <s v="GAZ"/>
    <x v="0"/>
    <x v="2"/>
    <x v="2"/>
    <n v="2174"/>
    <x v="0"/>
  </r>
  <r>
    <x v="23"/>
    <s v="GAZ"/>
    <x v="0"/>
    <x v="2"/>
    <x v="3"/>
    <n v="2370"/>
    <x v="0"/>
  </r>
  <r>
    <x v="23"/>
    <s v="GAZ"/>
    <x v="0"/>
    <x v="3"/>
    <x v="0"/>
    <n v="2410"/>
    <x v="0"/>
  </r>
  <r>
    <x v="23"/>
    <s v="GAZ"/>
    <x v="0"/>
    <x v="3"/>
    <x v="1"/>
    <n v="2290"/>
    <x v="0"/>
  </r>
  <r>
    <x v="23"/>
    <s v="GAZ"/>
    <x v="0"/>
    <x v="3"/>
    <x v="2"/>
    <n v="2124"/>
    <x v="0"/>
  </r>
  <r>
    <x v="23"/>
    <s v="GAZ"/>
    <x v="0"/>
    <x v="3"/>
    <x v="3"/>
    <n v="2165"/>
    <x v="0"/>
  </r>
  <r>
    <x v="23"/>
    <s v="GAZ"/>
    <x v="1"/>
    <x v="0"/>
    <x v="0"/>
    <n v="114"/>
    <x v="0"/>
  </r>
  <r>
    <x v="23"/>
    <s v="GAZ"/>
    <x v="1"/>
    <x v="0"/>
    <x v="1"/>
    <n v="128"/>
    <x v="0"/>
  </r>
  <r>
    <x v="23"/>
    <s v="GAZ"/>
    <x v="1"/>
    <x v="0"/>
    <x v="2"/>
    <n v="111"/>
    <x v="0"/>
  </r>
  <r>
    <x v="23"/>
    <s v="GAZ"/>
    <x v="1"/>
    <x v="0"/>
    <x v="3"/>
    <n v="145"/>
    <x v="0"/>
  </r>
  <r>
    <x v="23"/>
    <s v="GAZ"/>
    <x v="1"/>
    <x v="1"/>
    <x v="0"/>
    <n v="11"/>
    <x v="0"/>
  </r>
  <r>
    <x v="23"/>
    <s v="GAZ"/>
    <x v="1"/>
    <x v="1"/>
    <x v="1"/>
    <n v="108"/>
    <x v="0"/>
  </r>
  <r>
    <x v="23"/>
    <s v="GAZ"/>
    <x v="1"/>
    <x v="1"/>
    <x v="2"/>
    <n v="113"/>
    <x v="0"/>
  </r>
  <r>
    <x v="23"/>
    <s v="GAZ"/>
    <x v="1"/>
    <x v="1"/>
    <x v="3"/>
    <n v="124"/>
    <x v="0"/>
  </r>
  <r>
    <x v="23"/>
    <s v="GAZ"/>
    <x v="1"/>
    <x v="2"/>
    <x v="0"/>
    <n v="136"/>
    <x v="0"/>
  </r>
  <r>
    <x v="23"/>
    <s v="GAZ"/>
    <x v="1"/>
    <x v="2"/>
    <x v="1"/>
    <n v="136"/>
    <x v="0"/>
  </r>
  <r>
    <x v="23"/>
    <s v="GAZ"/>
    <x v="1"/>
    <x v="2"/>
    <x v="2"/>
    <n v="114"/>
    <x v="0"/>
  </r>
  <r>
    <x v="23"/>
    <s v="GAZ"/>
    <x v="1"/>
    <x v="2"/>
    <x v="3"/>
    <n v="148"/>
    <x v="0"/>
  </r>
  <r>
    <x v="23"/>
    <s v="GAZ"/>
    <x v="1"/>
    <x v="3"/>
    <x v="0"/>
    <n v="98"/>
    <x v="0"/>
  </r>
  <r>
    <x v="23"/>
    <s v="GAZ"/>
    <x v="1"/>
    <x v="3"/>
    <x v="1"/>
    <n v="115"/>
    <x v="0"/>
  </r>
  <r>
    <x v="23"/>
    <s v="GAZ"/>
    <x v="1"/>
    <x v="3"/>
    <x v="2"/>
    <n v="134"/>
    <x v="0"/>
  </r>
  <r>
    <x v="23"/>
    <s v="GAZ"/>
    <x v="1"/>
    <x v="3"/>
    <x v="3"/>
    <n v="172"/>
    <x v="0"/>
  </r>
  <r>
    <x v="23"/>
    <s v="GAZ"/>
    <x v="2"/>
    <x v="0"/>
    <x v="0"/>
    <n v="1139"/>
    <x v="0"/>
  </r>
  <r>
    <x v="23"/>
    <s v="GAZ"/>
    <x v="2"/>
    <x v="0"/>
    <x v="1"/>
    <n v="-38"/>
    <x v="0"/>
  </r>
  <r>
    <x v="23"/>
    <s v="GAZ"/>
    <x v="2"/>
    <x v="0"/>
    <x v="3"/>
    <n v="732"/>
    <x v="0"/>
  </r>
  <r>
    <x v="23"/>
    <s v="GAZ"/>
    <x v="2"/>
    <x v="1"/>
    <x v="0"/>
    <n v="2115"/>
    <x v="0"/>
  </r>
  <r>
    <x v="23"/>
    <s v="GAZ"/>
    <x v="2"/>
    <x v="1"/>
    <x v="1"/>
    <n v="-949"/>
    <x v="0"/>
  </r>
  <r>
    <x v="23"/>
    <s v="GAZ"/>
    <x v="2"/>
    <x v="1"/>
    <x v="2"/>
    <n v="2616"/>
    <x v="0"/>
  </r>
  <r>
    <x v="23"/>
    <s v="GAZ"/>
    <x v="2"/>
    <x v="1"/>
    <x v="3"/>
    <n v="124"/>
    <x v="0"/>
  </r>
  <r>
    <x v="23"/>
    <s v="GAZ"/>
    <x v="2"/>
    <x v="2"/>
    <x v="0"/>
    <n v="1850"/>
    <x v="0"/>
  </r>
  <r>
    <x v="23"/>
    <s v="GAZ"/>
    <x v="2"/>
    <x v="2"/>
    <x v="1"/>
    <n v="692"/>
    <x v="0"/>
  </r>
  <r>
    <x v="23"/>
    <s v="GAZ"/>
    <x v="2"/>
    <x v="2"/>
    <x v="2"/>
    <n v="2447"/>
    <x v="0"/>
  </r>
  <r>
    <x v="23"/>
    <s v="GAZ"/>
    <x v="2"/>
    <x v="2"/>
    <x v="3"/>
    <n v="216"/>
    <x v="0"/>
  </r>
  <r>
    <x v="23"/>
    <s v="GAZ"/>
    <x v="2"/>
    <x v="3"/>
    <x v="0"/>
    <n v="1291"/>
    <x v="0"/>
  </r>
  <r>
    <x v="23"/>
    <s v="GAZ"/>
    <x v="2"/>
    <x v="3"/>
    <x v="1"/>
    <n v="823"/>
    <x v="0"/>
  </r>
  <r>
    <x v="23"/>
    <s v="GAZ"/>
    <x v="2"/>
    <x v="3"/>
    <x v="2"/>
    <n v="2226"/>
    <x v="0"/>
  </r>
  <r>
    <x v="23"/>
    <s v="GAZ"/>
    <x v="2"/>
    <x v="3"/>
    <x v="3"/>
    <n v="474"/>
    <x v="0"/>
  </r>
  <r>
    <x v="24"/>
    <s v="TMA"/>
    <x v="0"/>
    <x v="0"/>
    <x v="0"/>
    <n v="4476"/>
    <x v="0"/>
  </r>
  <r>
    <x v="24"/>
    <s v="TMA"/>
    <x v="0"/>
    <x v="0"/>
    <x v="1"/>
    <n v="5032"/>
    <x v="0"/>
  </r>
  <r>
    <x v="24"/>
    <s v="TMA"/>
    <x v="0"/>
    <x v="0"/>
    <x v="2"/>
    <n v="5304"/>
    <x v="0"/>
  </r>
  <r>
    <x v="24"/>
    <s v="TMA"/>
    <x v="0"/>
    <x v="0"/>
    <x v="3"/>
    <n v="4906"/>
    <x v="0"/>
  </r>
  <r>
    <x v="24"/>
    <s v="TMA"/>
    <x v="0"/>
    <x v="1"/>
    <x v="0"/>
    <n v="4346"/>
    <x v="0"/>
  </r>
  <r>
    <x v="24"/>
    <s v="TMA"/>
    <x v="0"/>
    <x v="1"/>
    <x v="1"/>
    <n v="3917"/>
    <x v="0"/>
  </r>
  <r>
    <x v="24"/>
    <s v="TMA"/>
    <x v="0"/>
    <x v="1"/>
    <x v="2"/>
    <n v="4141"/>
    <x v="0"/>
  </r>
  <r>
    <x v="24"/>
    <s v="TMA"/>
    <x v="0"/>
    <x v="1"/>
    <x v="3"/>
    <n v="4529"/>
    <x v="0"/>
  </r>
  <r>
    <x v="24"/>
    <s v="TMA"/>
    <x v="0"/>
    <x v="2"/>
    <x v="0"/>
    <n v="4230"/>
    <x v="0"/>
  </r>
  <r>
    <x v="24"/>
    <s v="TMA"/>
    <x v="0"/>
    <x v="2"/>
    <x v="1"/>
    <n v="4232"/>
    <x v="0"/>
  </r>
  <r>
    <x v="24"/>
    <s v="TMA"/>
    <x v="0"/>
    <x v="2"/>
    <x v="2"/>
    <n v="4268"/>
    <x v="0"/>
  </r>
  <r>
    <x v="24"/>
    <s v="TMA"/>
    <x v="0"/>
    <x v="2"/>
    <x v="3"/>
    <n v="4021"/>
    <x v="0"/>
  </r>
  <r>
    <x v="24"/>
    <s v="TMA"/>
    <x v="0"/>
    <x v="3"/>
    <x v="0"/>
    <n v="3892"/>
    <x v="0"/>
  </r>
  <r>
    <x v="24"/>
    <s v="TMA"/>
    <x v="0"/>
    <x v="3"/>
    <x v="1"/>
    <n v="3652"/>
    <x v="0"/>
  </r>
  <r>
    <x v="24"/>
    <s v="TMA"/>
    <x v="0"/>
    <x v="3"/>
    <x v="2"/>
    <n v="3810"/>
    <x v="0"/>
  </r>
  <r>
    <x v="24"/>
    <s v="TMA"/>
    <x v="0"/>
    <x v="3"/>
    <x v="3"/>
    <n v="3772"/>
    <x v="0"/>
  </r>
  <r>
    <x v="24"/>
    <s v="TMA"/>
    <x v="2"/>
    <x v="0"/>
    <x v="0"/>
    <n v="-884"/>
    <x v="0"/>
  </r>
  <r>
    <x v="24"/>
    <s v="TMA"/>
    <x v="2"/>
    <x v="0"/>
    <x v="1"/>
    <n v="-45"/>
    <x v="0"/>
  </r>
  <r>
    <x v="24"/>
    <s v="TMA"/>
    <x v="2"/>
    <x v="0"/>
    <x v="2"/>
    <n v="-607"/>
    <x v="0"/>
  </r>
  <r>
    <x v="24"/>
    <s v="TMA"/>
    <x v="2"/>
    <x v="0"/>
    <x v="3"/>
    <n v="478"/>
    <x v="0"/>
  </r>
  <r>
    <x v="24"/>
    <s v="TMA"/>
    <x v="2"/>
    <x v="1"/>
    <x v="0"/>
    <n v="-125"/>
    <x v="0"/>
  </r>
  <r>
    <x v="24"/>
    <s v="TMA"/>
    <x v="2"/>
    <x v="1"/>
    <x v="1"/>
    <n v="-273"/>
    <x v="0"/>
  </r>
  <r>
    <x v="24"/>
    <s v="TMA"/>
    <x v="2"/>
    <x v="1"/>
    <x v="2"/>
    <n v="-884"/>
    <x v="0"/>
  </r>
  <r>
    <x v="24"/>
    <s v="TMA"/>
    <x v="2"/>
    <x v="1"/>
    <x v="3"/>
    <n v="-223"/>
    <x v="0"/>
  </r>
  <r>
    <x v="24"/>
    <s v="TMA"/>
    <x v="2"/>
    <x v="2"/>
    <x v="0"/>
    <n v="-122"/>
    <x v="0"/>
  </r>
  <r>
    <x v="24"/>
    <s v="TMA"/>
    <x v="2"/>
    <x v="2"/>
    <x v="1"/>
    <n v="-82"/>
    <x v="0"/>
  </r>
  <r>
    <x v="24"/>
    <s v="TMA"/>
    <x v="2"/>
    <x v="2"/>
    <x v="2"/>
    <n v="-218"/>
    <x v="0"/>
  </r>
  <r>
    <x v="24"/>
    <s v="TMA"/>
    <x v="2"/>
    <x v="2"/>
    <x v="3"/>
    <n v="-546"/>
    <x v="0"/>
  </r>
  <r>
    <x v="24"/>
    <s v="TMA"/>
    <x v="2"/>
    <x v="3"/>
    <x v="0"/>
    <n v="-1217"/>
    <x v="0"/>
  </r>
  <r>
    <x v="24"/>
    <s v="TMA"/>
    <x v="2"/>
    <x v="3"/>
    <x v="1"/>
    <n v="-178"/>
    <x v="0"/>
  </r>
  <r>
    <x v="24"/>
    <s v="TMA"/>
    <x v="2"/>
    <x v="3"/>
    <x v="2"/>
    <n v="-141"/>
    <x v="0"/>
  </r>
  <r>
    <x v="24"/>
    <s v="TMA"/>
    <x v="2"/>
    <x v="3"/>
    <x v="3"/>
    <n v="-408"/>
    <x v="0"/>
  </r>
  <r>
    <x v="25"/>
    <s v="DHO"/>
    <x v="0"/>
    <x v="0"/>
    <x v="0"/>
    <n v="598"/>
    <x v="0"/>
  </r>
  <r>
    <x v="25"/>
    <s v="DHO"/>
    <x v="0"/>
    <x v="0"/>
    <x v="1"/>
    <n v="670"/>
    <x v="0"/>
  </r>
  <r>
    <x v="25"/>
    <s v="DHO"/>
    <x v="0"/>
    <x v="0"/>
    <x v="2"/>
    <n v="625"/>
    <x v="0"/>
  </r>
  <r>
    <x v="25"/>
    <s v="DHO"/>
    <x v="0"/>
    <x v="0"/>
    <x v="3"/>
    <n v="899"/>
    <x v="0"/>
  </r>
  <r>
    <x v="25"/>
    <s v="DHO"/>
    <x v="0"/>
    <x v="1"/>
    <x v="0"/>
    <n v="600"/>
    <x v="0"/>
  </r>
  <r>
    <x v="25"/>
    <s v="DHO"/>
    <x v="0"/>
    <x v="1"/>
    <x v="1"/>
    <n v="723"/>
    <x v="0"/>
  </r>
  <r>
    <x v="25"/>
    <s v="DHO"/>
    <x v="0"/>
    <x v="1"/>
    <x v="2"/>
    <n v="737"/>
    <x v="0"/>
  </r>
  <r>
    <x v="25"/>
    <s v="DHO"/>
    <x v="0"/>
    <x v="1"/>
    <x v="3"/>
    <n v="1063"/>
    <x v="0"/>
  </r>
  <r>
    <x v="25"/>
    <s v="DHO"/>
    <x v="0"/>
    <x v="2"/>
    <x v="0"/>
    <n v="689"/>
    <x v="0"/>
  </r>
  <r>
    <x v="25"/>
    <s v="DHO"/>
    <x v="0"/>
    <x v="2"/>
    <x v="1"/>
    <n v="686"/>
    <x v="0"/>
  </r>
  <r>
    <x v="25"/>
    <s v="DHO"/>
    <x v="0"/>
    <x v="2"/>
    <x v="2"/>
    <n v="765"/>
    <x v="0"/>
  </r>
  <r>
    <x v="25"/>
    <s v="DHO"/>
    <x v="0"/>
    <x v="2"/>
    <x v="3"/>
    <n v="977"/>
    <x v="0"/>
  </r>
  <r>
    <x v="25"/>
    <s v="DHO"/>
    <x v="0"/>
    <x v="3"/>
    <x v="0"/>
    <n v="579"/>
    <x v="0"/>
  </r>
  <r>
    <x v="25"/>
    <s v="DHO"/>
    <x v="0"/>
    <x v="3"/>
    <x v="1"/>
    <n v="755"/>
    <x v="0"/>
  </r>
  <r>
    <x v="25"/>
    <s v="DHO"/>
    <x v="0"/>
    <x v="3"/>
    <x v="2"/>
    <n v="709"/>
    <x v="0"/>
  </r>
  <r>
    <x v="25"/>
    <s v="DHO"/>
    <x v="0"/>
    <x v="3"/>
    <x v="3"/>
    <n v="1012"/>
    <x v="0"/>
  </r>
  <r>
    <x v="25"/>
    <s v="DHO"/>
    <x v="1"/>
    <x v="0"/>
    <x v="0"/>
    <n v="15"/>
    <x v="0"/>
  </r>
  <r>
    <x v="25"/>
    <s v="DHO"/>
    <x v="1"/>
    <x v="0"/>
    <x v="1"/>
    <n v="20"/>
    <x v="0"/>
  </r>
  <r>
    <x v="25"/>
    <s v="DHO"/>
    <x v="1"/>
    <x v="0"/>
    <x v="2"/>
    <n v="11"/>
    <x v="0"/>
  </r>
  <r>
    <x v="25"/>
    <s v="DHO"/>
    <x v="1"/>
    <x v="0"/>
    <x v="3"/>
    <n v="13"/>
    <x v="0"/>
  </r>
  <r>
    <x v="25"/>
    <s v="DHO"/>
    <x v="1"/>
    <x v="1"/>
    <x v="0"/>
    <n v="26"/>
    <x v="0"/>
  </r>
  <r>
    <x v="25"/>
    <s v="DHO"/>
    <x v="1"/>
    <x v="1"/>
    <x v="1"/>
    <n v="13"/>
    <x v="0"/>
  </r>
  <r>
    <x v="25"/>
    <s v="DHO"/>
    <x v="1"/>
    <x v="1"/>
    <x v="2"/>
    <n v="13"/>
    <x v="0"/>
  </r>
  <r>
    <x v="25"/>
    <s v="DHO"/>
    <x v="1"/>
    <x v="1"/>
    <x v="3"/>
    <n v="37"/>
    <x v="0"/>
  </r>
  <r>
    <x v="25"/>
    <s v="DHO"/>
    <x v="1"/>
    <x v="2"/>
    <x v="0"/>
    <n v="15"/>
    <x v="0"/>
  </r>
  <r>
    <x v="25"/>
    <s v="DHO"/>
    <x v="1"/>
    <x v="2"/>
    <x v="1"/>
    <n v="32"/>
    <x v="0"/>
  </r>
  <r>
    <x v="25"/>
    <s v="DHO"/>
    <x v="1"/>
    <x v="2"/>
    <x v="2"/>
    <n v="22"/>
    <x v="0"/>
  </r>
  <r>
    <x v="25"/>
    <s v="DHO"/>
    <x v="1"/>
    <x v="2"/>
    <x v="3"/>
    <n v="21"/>
    <x v="0"/>
  </r>
  <r>
    <x v="25"/>
    <s v="DHO"/>
    <x v="1"/>
    <x v="3"/>
    <x v="0"/>
    <n v="16"/>
    <x v="0"/>
  </r>
  <r>
    <x v="25"/>
    <s v="DHO"/>
    <x v="1"/>
    <x v="3"/>
    <x v="1"/>
    <n v="65"/>
    <x v="0"/>
  </r>
  <r>
    <x v="25"/>
    <s v="DHO"/>
    <x v="1"/>
    <x v="3"/>
    <x v="2"/>
    <n v="22"/>
    <x v="0"/>
  </r>
  <r>
    <x v="25"/>
    <s v="DHO"/>
    <x v="1"/>
    <x v="3"/>
    <x v="3"/>
    <n v="22"/>
    <x v="0"/>
  </r>
  <r>
    <x v="25"/>
    <s v="DHO"/>
    <x v="2"/>
    <x v="0"/>
    <x v="0"/>
    <n v="170"/>
    <x v="0"/>
  </r>
  <r>
    <x v="25"/>
    <s v="DHO"/>
    <x v="2"/>
    <x v="0"/>
    <x v="1"/>
    <n v="277"/>
    <x v="0"/>
  </r>
  <r>
    <x v="25"/>
    <s v="DHO"/>
    <x v="2"/>
    <x v="0"/>
    <x v="2"/>
    <n v="361"/>
    <x v="0"/>
  </r>
  <r>
    <x v="25"/>
    <s v="DHO"/>
    <x v="2"/>
    <x v="0"/>
    <x v="3"/>
    <n v="386"/>
    <x v="0"/>
  </r>
  <r>
    <x v="25"/>
    <s v="DHO"/>
    <x v="2"/>
    <x v="1"/>
    <x v="0"/>
    <n v="311"/>
    <x v="0"/>
  </r>
  <r>
    <x v="25"/>
    <s v="DHO"/>
    <x v="2"/>
    <x v="1"/>
    <x v="1"/>
    <n v="318"/>
    <x v="0"/>
  </r>
  <r>
    <x v="25"/>
    <s v="DHO"/>
    <x v="2"/>
    <x v="1"/>
    <x v="2"/>
    <n v="286"/>
    <x v="0"/>
  </r>
  <r>
    <x v="25"/>
    <s v="DHO"/>
    <x v="2"/>
    <x v="1"/>
    <x v="3"/>
    <n v="103"/>
    <x v="0"/>
  </r>
  <r>
    <x v="25"/>
    <s v="DHO"/>
    <x v="2"/>
    <x v="2"/>
    <x v="0"/>
    <n v="-155"/>
    <x v="0"/>
  </r>
  <r>
    <x v="25"/>
    <s v="DHO"/>
    <x v="2"/>
    <x v="2"/>
    <x v="1"/>
    <n v="-108"/>
    <x v="0"/>
  </r>
  <r>
    <x v="25"/>
    <s v="DHO"/>
    <x v="2"/>
    <x v="2"/>
    <x v="2"/>
    <n v="-108"/>
    <x v="0"/>
  </r>
  <r>
    <x v="25"/>
    <s v="DHO"/>
    <x v="2"/>
    <x v="2"/>
    <x v="3"/>
    <n v="-234"/>
    <x v="0"/>
  </r>
  <r>
    <x v="25"/>
    <s v="DHO"/>
    <x v="2"/>
    <x v="3"/>
    <x v="0"/>
    <n v="-366"/>
    <x v="0"/>
  </r>
  <r>
    <x v="25"/>
    <s v="DHO"/>
    <x v="2"/>
    <x v="3"/>
    <x v="1"/>
    <n v="-169"/>
    <x v="0"/>
  </r>
  <r>
    <x v="25"/>
    <s v="DHO"/>
    <x v="2"/>
    <x v="3"/>
    <x v="2"/>
    <n v="-132"/>
    <x v="0"/>
  </r>
  <r>
    <x v="25"/>
    <s v="DHO"/>
    <x v="2"/>
    <x v="3"/>
    <x v="3"/>
    <n v="-446"/>
    <x v="0"/>
  </r>
  <r>
    <x v="26"/>
    <s v="RIS"/>
    <x v="0"/>
    <x v="0"/>
    <x v="0"/>
    <n v="150"/>
    <x v="0"/>
  </r>
  <r>
    <x v="26"/>
    <s v="RIS"/>
    <x v="0"/>
    <x v="0"/>
    <x v="1"/>
    <n v="276"/>
    <x v="0"/>
  </r>
  <r>
    <x v="26"/>
    <s v="RIS"/>
    <x v="0"/>
    <x v="0"/>
    <x v="2"/>
    <n v="296"/>
    <x v="0"/>
  </r>
  <r>
    <x v="26"/>
    <s v="RIS"/>
    <x v="0"/>
    <x v="0"/>
    <x v="3"/>
    <n v="314"/>
    <x v="0"/>
  </r>
  <r>
    <x v="26"/>
    <s v="RIS"/>
    <x v="0"/>
    <x v="1"/>
    <x v="0"/>
    <n v="273"/>
    <x v="0"/>
  </r>
  <r>
    <x v="26"/>
    <s v="RIS"/>
    <x v="0"/>
    <x v="1"/>
    <x v="1"/>
    <n v="320"/>
    <x v="0"/>
  </r>
  <r>
    <x v="26"/>
    <s v="RIS"/>
    <x v="0"/>
    <x v="1"/>
    <x v="2"/>
    <n v="286"/>
    <x v="0"/>
  </r>
  <r>
    <x v="26"/>
    <s v="RIS"/>
    <x v="0"/>
    <x v="1"/>
    <x v="3"/>
    <n v="295"/>
    <x v="0"/>
  </r>
  <r>
    <x v="26"/>
    <s v="RIS"/>
    <x v="0"/>
    <x v="2"/>
    <x v="0"/>
    <n v="253"/>
    <x v="0"/>
  </r>
  <r>
    <x v="26"/>
    <s v="RIS"/>
    <x v="0"/>
    <x v="2"/>
    <x v="1"/>
    <n v="344"/>
    <x v="0"/>
  </r>
  <r>
    <x v="26"/>
    <s v="RIS"/>
    <x v="0"/>
    <x v="2"/>
    <x v="2"/>
    <n v="318"/>
    <x v="0"/>
  </r>
  <r>
    <x v="26"/>
    <s v="RIS"/>
    <x v="0"/>
    <x v="2"/>
    <x v="3"/>
    <n v="349"/>
    <x v="0"/>
  </r>
  <r>
    <x v="26"/>
    <s v="RIS"/>
    <x v="0"/>
    <x v="3"/>
    <x v="0"/>
    <n v="278"/>
    <x v="0"/>
  </r>
  <r>
    <x v="26"/>
    <s v="RIS"/>
    <x v="0"/>
    <x v="3"/>
    <x v="1"/>
    <n v="375"/>
    <x v="0"/>
  </r>
  <r>
    <x v="26"/>
    <s v="RIS"/>
    <x v="0"/>
    <x v="3"/>
    <x v="2"/>
    <n v="334"/>
    <x v="0"/>
  </r>
  <r>
    <x v="26"/>
    <s v="RIS"/>
    <x v="0"/>
    <x v="3"/>
    <x v="3"/>
    <n v="486"/>
    <x v="0"/>
  </r>
  <r>
    <x v="26"/>
    <s v="RIS"/>
    <x v="1"/>
    <x v="0"/>
    <x v="0"/>
    <n v="20"/>
    <x v="0"/>
  </r>
  <r>
    <x v="26"/>
    <s v="RIS"/>
    <x v="1"/>
    <x v="0"/>
    <x v="1"/>
    <n v="19"/>
    <x v="0"/>
  </r>
  <r>
    <x v="26"/>
    <s v="RIS"/>
    <x v="1"/>
    <x v="0"/>
    <x v="2"/>
    <n v="10"/>
    <x v="0"/>
  </r>
  <r>
    <x v="26"/>
    <s v="RIS"/>
    <x v="1"/>
    <x v="0"/>
    <x v="3"/>
    <n v="44"/>
    <x v="0"/>
  </r>
  <r>
    <x v="26"/>
    <s v="RIS"/>
    <x v="1"/>
    <x v="1"/>
    <x v="0"/>
    <n v="22"/>
    <x v="0"/>
  </r>
  <r>
    <x v="26"/>
    <s v="RIS"/>
    <x v="1"/>
    <x v="1"/>
    <x v="1"/>
    <n v="47"/>
    <x v="0"/>
  </r>
  <r>
    <x v="26"/>
    <s v="RIS"/>
    <x v="1"/>
    <x v="1"/>
    <x v="2"/>
    <n v="33"/>
    <x v="0"/>
  </r>
  <r>
    <x v="26"/>
    <s v="RIS"/>
    <x v="1"/>
    <x v="1"/>
    <x v="3"/>
    <n v="66"/>
    <x v="0"/>
  </r>
  <r>
    <x v="26"/>
    <s v="RIS"/>
    <x v="1"/>
    <x v="2"/>
    <x v="0"/>
    <n v="31"/>
    <x v="0"/>
  </r>
  <r>
    <x v="26"/>
    <s v="RIS"/>
    <x v="1"/>
    <x v="2"/>
    <x v="1"/>
    <n v="24"/>
    <x v="0"/>
  </r>
  <r>
    <x v="26"/>
    <s v="RIS"/>
    <x v="1"/>
    <x v="2"/>
    <x v="2"/>
    <n v="29"/>
    <x v="0"/>
  </r>
  <r>
    <x v="26"/>
    <s v="RIS"/>
    <x v="1"/>
    <x v="2"/>
    <x v="3"/>
    <n v="50"/>
    <x v="0"/>
  </r>
  <r>
    <x v="26"/>
    <s v="RIS"/>
    <x v="1"/>
    <x v="3"/>
    <x v="0"/>
    <n v="35"/>
    <x v="0"/>
  </r>
  <r>
    <x v="26"/>
    <s v="RIS"/>
    <x v="1"/>
    <x v="3"/>
    <x v="1"/>
    <n v="223"/>
    <x v="0"/>
  </r>
  <r>
    <x v="26"/>
    <s v="RIS"/>
    <x v="1"/>
    <x v="3"/>
    <x v="2"/>
    <n v="47"/>
    <x v="0"/>
  </r>
  <r>
    <x v="26"/>
    <s v="RIS"/>
    <x v="1"/>
    <x v="3"/>
    <x v="3"/>
    <n v="625"/>
    <x v="0"/>
  </r>
  <r>
    <x v="26"/>
    <s v="RIS"/>
    <x v="2"/>
    <x v="0"/>
    <x v="0"/>
    <n v="1825"/>
    <x v="0"/>
  </r>
  <r>
    <x v="26"/>
    <s v="RIS"/>
    <x v="2"/>
    <x v="0"/>
    <x v="1"/>
    <n v="1720"/>
    <x v="0"/>
  </r>
  <r>
    <x v="26"/>
    <s v="RIS"/>
    <x v="2"/>
    <x v="0"/>
    <x v="2"/>
    <n v="1580"/>
    <x v="0"/>
  </r>
  <r>
    <x v="26"/>
    <s v="RIS"/>
    <x v="2"/>
    <x v="0"/>
    <x v="3"/>
    <n v="1443"/>
    <x v="0"/>
  </r>
  <r>
    <x v="26"/>
    <s v="RIS"/>
    <x v="2"/>
    <x v="1"/>
    <x v="0"/>
    <n v="1422"/>
    <x v="0"/>
  </r>
  <r>
    <x v="26"/>
    <s v="RIS"/>
    <x v="2"/>
    <x v="1"/>
    <x v="1"/>
    <n v="1447"/>
    <x v="0"/>
  </r>
  <r>
    <x v="26"/>
    <s v="RIS"/>
    <x v="2"/>
    <x v="1"/>
    <x v="2"/>
    <n v="1413"/>
    <x v="0"/>
  </r>
  <r>
    <x v="26"/>
    <s v="RIS"/>
    <x v="2"/>
    <x v="1"/>
    <x v="3"/>
    <n v="1328"/>
    <x v="0"/>
  </r>
  <r>
    <x v="26"/>
    <s v="RIS"/>
    <x v="2"/>
    <x v="2"/>
    <x v="0"/>
    <n v="1335"/>
    <x v="0"/>
  </r>
  <r>
    <x v="26"/>
    <s v="RIS"/>
    <x v="2"/>
    <x v="2"/>
    <x v="1"/>
    <n v="1178"/>
    <x v="0"/>
  </r>
  <r>
    <x v="26"/>
    <s v="RIS"/>
    <x v="2"/>
    <x v="2"/>
    <x v="2"/>
    <n v="1158"/>
    <x v="0"/>
  </r>
  <r>
    <x v="26"/>
    <s v="RIS"/>
    <x v="2"/>
    <x v="2"/>
    <x v="3"/>
    <n v="1086"/>
    <x v="0"/>
  </r>
  <r>
    <x v="26"/>
    <s v="RIS"/>
    <x v="2"/>
    <x v="3"/>
    <x v="0"/>
    <n v="1109"/>
    <x v="0"/>
  </r>
  <r>
    <x v="26"/>
    <s v="RIS"/>
    <x v="2"/>
    <x v="3"/>
    <x v="1"/>
    <n v="1184"/>
    <x v="0"/>
  </r>
  <r>
    <x v="26"/>
    <s v="RIS"/>
    <x v="2"/>
    <x v="3"/>
    <x v="2"/>
    <n v="1285"/>
    <x v="0"/>
  </r>
  <r>
    <x v="26"/>
    <s v="RIS"/>
    <x v="2"/>
    <x v="3"/>
    <x v="3"/>
    <n v="1968"/>
    <x v="0"/>
  </r>
  <r>
    <x v="27"/>
    <s v="CMG"/>
    <x v="0"/>
    <x v="1"/>
    <x v="3"/>
    <n v="577"/>
    <x v="0"/>
  </r>
  <r>
    <x v="27"/>
    <s v="CMG"/>
    <x v="0"/>
    <x v="2"/>
    <x v="0"/>
    <n v="539"/>
    <x v="0"/>
  </r>
  <r>
    <x v="27"/>
    <s v="CMG"/>
    <x v="0"/>
    <x v="2"/>
    <x v="1"/>
    <n v="577"/>
    <x v="0"/>
  </r>
  <r>
    <x v="27"/>
    <s v="CMG"/>
    <x v="0"/>
    <x v="2"/>
    <x v="2"/>
    <n v="558"/>
    <x v="0"/>
  </r>
  <r>
    <x v="27"/>
    <s v="CMG"/>
    <x v="0"/>
    <x v="2"/>
    <x v="3"/>
    <n v="653"/>
    <x v="0"/>
  </r>
  <r>
    <x v="27"/>
    <s v="CMG"/>
    <x v="0"/>
    <x v="3"/>
    <x v="0"/>
    <n v="541"/>
    <x v="0"/>
  </r>
  <r>
    <x v="27"/>
    <s v="CMG"/>
    <x v="0"/>
    <x v="3"/>
    <x v="1"/>
    <n v="579"/>
    <x v="0"/>
  </r>
  <r>
    <x v="27"/>
    <s v="CMG"/>
    <x v="0"/>
    <x v="3"/>
    <x v="2"/>
    <n v="591"/>
    <x v="0"/>
  </r>
  <r>
    <x v="27"/>
    <s v="CMG"/>
    <x v="0"/>
    <x v="3"/>
    <x v="3"/>
    <n v="776"/>
    <x v="0"/>
  </r>
  <r>
    <x v="27"/>
    <s v="CMG"/>
    <x v="1"/>
    <x v="1"/>
    <x v="3"/>
    <n v="24"/>
    <x v="0"/>
  </r>
  <r>
    <x v="27"/>
    <s v="CMG"/>
    <x v="1"/>
    <x v="2"/>
    <x v="0"/>
    <n v="10"/>
    <x v="0"/>
  </r>
  <r>
    <x v="27"/>
    <s v="CMG"/>
    <x v="1"/>
    <x v="2"/>
    <x v="1"/>
    <n v="58"/>
    <x v="0"/>
  </r>
  <r>
    <x v="27"/>
    <s v="CMG"/>
    <x v="1"/>
    <x v="2"/>
    <x v="2"/>
    <n v="18"/>
    <x v="0"/>
  </r>
  <r>
    <x v="27"/>
    <s v="CMG"/>
    <x v="1"/>
    <x v="2"/>
    <x v="3"/>
    <n v="22"/>
    <x v="0"/>
  </r>
  <r>
    <x v="27"/>
    <s v="CMG"/>
    <x v="1"/>
    <x v="3"/>
    <x v="0"/>
    <n v="20"/>
    <x v="0"/>
  </r>
  <r>
    <x v="27"/>
    <s v="CMG"/>
    <x v="1"/>
    <x v="3"/>
    <x v="1"/>
    <n v="2"/>
    <x v="0"/>
  </r>
  <r>
    <x v="27"/>
    <s v="CMG"/>
    <x v="1"/>
    <x v="3"/>
    <x v="2"/>
    <n v="78"/>
    <x v="0"/>
  </r>
  <r>
    <x v="27"/>
    <s v="CMG"/>
    <x v="1"/>
    <x v="3"/>
    <x v="3"/>
    <n v="875"/>
    <x v="0"/>
  </r>
  <r>
    <x v="27"/>
    <s v="CMG"/>
    <x v="2"/>
    <x v="1"/>
    <x v="3"/>
    <n v="568"/>
    <x v="0"/>
  </r>
  <r>
    <x v="27"/>
    <s v="CMG"/>
    <x v="2"/>
    <x v="3"/>
    <x v="0"/>
    <n v="-15"/>
    <x v="0"/>
  </r>
  <r>
    <x v="27"/>
    <s v="CMG"/>
    <x v="2"/>
    <x v="3"/>
    <x v="1"/>
    <n v="-26"/>
    <x v="0"/>
  </r>
  <r>
    <x v="27"/>
    <s v="CMG"/>
    <x v="2"/>
    <x v="3"/>
    <x v="2"/>
    <n v="91"/>
    <x v="0"/>
  </r>
  <r>
    <x v="27"/>
    <s v="CMG"/>
    <x v="2"/>
    <x v="3"/>
    <x v="3"/>
    <n v="944"/>
    <x v="0"/>
  </r>
  <r>
    <x v="28"/>
    <s v="MSA"/>
    <x v="0"/>
    <x v="0"/>
    <x v="0"/>
    <n v="962"/>
    <x v="0"/>
  </r>
  <r>
    <x v="28"/>
    <s v="MSA"/>
    <x v="0"/>
    <x v="0"/>
    <x v="1"/>
    <n v="1031"/>
    <x v="0"/>
  </r>
  <r>
    <x v="28"/>
    <s v="MSA"/>
    <x v="0"/>
    <x v="0"/>
    <x v="2"/>
    <n v="971"/>
    <x v="0"/>
  </r>
  <r>
    <x v="28"/>
    <s v="MSA"/>
    <x v="0"/>
    <x v="0"/>
    <x v="3"/>
    <n v="984"/>
    <x v="0"/>
  </r>
  <r>
    <x v="28"/>
    <s v="MSA"/>
    <x v="0"/>
    <x v="1"/>
    <x v="0"/>
    <n v="1004"/>
    <x v="0"/>
  </r>
  <r>
    <x v="28"/>
    <s v="MSA"/>
    <x v="0"/>
    <x v="1"/>
    <x v="1"/>
    <n v="1115"/>
    <x v="0"/>
  </r>
  <r>
    <x v="28"/>
    <s v="MSA"/>
    <x v="0"/>
    <x v="1"/>
    <x v="2"/>
    <n v="1112"/>
    <x v="0"/>
  </r>
  <r>
    <x v="28"/>
    <s v="MSA"/>
    <x v="0"/>
    <x v="1"/>
    <x v="3"/>
    <n v="1090"/>
    <x v="0"/>
  </r>
  <r>
    <x v="28"/>
    <s v="MSA"/>
    <x v="0"/>
    <x v="2"/>
    <x v="0"/>
    <n v="1140"/>
    <x v="0"/>
  </r>
  <r>
    <x v="28"/>
    <s v="MSA"/>
    <x v="0"/>
    <x v="2"/>
    <x v="1"/>
    <n v="1342"/>
    <x v="0"/>
  </r>
  <r>
    <x v="28"/>
    <s v="MSA"/>
    <x v="0"/>
    <x v="2"/>
    <x v="2"/>
    <n v="1235"/>
    <x v="0"/>
  </r>
  <r>
    <x v="28"/>
    <s v="MSA"/>
    <x v="0"/>
    <x v="2"/>
    <x v="3"/>
    <n v="1291"/>
    <x v="0"/>
  </r>
  <r>
    <x v="28"/>
    <s v="MSA"/>
    <x v="0"/>
    <x v="3"/>
    <x v="0"/>
    <n v="1280"/>
    <x v="0"/>
  </r>
  <r>
    <x v="28"/>
    <s v="MSA"/>
    <x v="0"/>
    <x v="3"/>
    <x v="1"/>
    <n v="1586"/>
    <x v="0"/>
  </r>
  <r>
    <x v="28"/>
    <s v="MSA"/>
    <x v="0"/>
    <x v="3"/>
    <x v="2"/>
    <n v="1463"/>
    <x v="0"/>
  </r>
  <r>
    <x v="28"/>
    <s v="MSA"/>
    <x v="0"/>
    <x v="3"/>
    <x v="3"/>
    <n v="1480"/>
    <x v="0"/>
  </r>
  <r>
    <x v="28"/>
    <s v="MSA"/>
    <x v="1"/>
    <x v="0"/>
    <x v="0"/>
    <n v="15"/>
    <x v="0"/>
  </r>
  <r>
    <x v="28"/>
    <s v="MSA"/>
    <x v="1"/>
    <x v="0"/>
    <x v="1"/>
    <n v="141"/>
    <x v="0"/>
  </r>
  <r>
    <x v="28"/>
    <s v="MSA"/>
    <x v="1"/>
    <x v="0"/>
    <x v="2"/>
    <n v="42"/>
    <x v="0"/>
  </r>
  <r>
    <x v="28"/>
    <s v="MSA"/>
    <x v="1"/>
    <x v="0"/>
    <x v="3"/>
    <n v="279"/>
    <x v="0"/>
  </r>
  <r>
    <x v="28"/>
    <s v="MSA"/>
    <x v="1"/>
    <x v="1"/>
    <x v="0"/>
    <n v="16"/>
    <x v="0"/>
  </r>
  <r>
    <x v="28"/>
    <s v="MSA"/>
    <x v="1"/>
    <x v="1"/>
    <x v="1"/>
    <n v="122"/>
    <x v="0"/>
  </r>
  <r>
    <x v="28"/>
    <s v="MSA"/>
    <x v="1"/>
    <x v="1"/>
    <x v="2"/>
    <n v="65"/>
    <x v="0"/>
  </r>
  <r>
    <x v="28"/>
    <s v="MSA"/>
    <x v="1"/>
    <x v="1"/>
    <x v="3"/>
    <n v="327"/>
    <x v="0"/>
  </r>
  <r>
    <x v="28"/>
    <s v="MSA"/>
    <x v="1"/>
    <x v="2"/>
    <x v="0"/>
    <n v="68"/>
    <x v="0"/>
  </r>
  <r>
    <x v="28"/>
    <s v="MSA"/>
    <x v="1"/>
    <x v="2"/>
    <x v="1"/>
    <n v="96"/>
    <x v="0"/>
  </r>
  <r>
    <x v="28"/>
    <s v="MSA"/>
    <x v="1"/>
    <x v="2"/>
    <x v="2"/>
    <n v="228"/>
    <x v="0"/>
  </r>
  <r>
    <x v="28"/>
    <s v="MSA"/>
    <x v="1"/>
    <x v="2"/>
    <x v="3"/>
    <n v="323"/>
    <x v="0"/>
  </r>
  <r>
    <x v="28"/>
    <s v="MSA"/>
    <x v="1"/>
    <x v="3"/>
    <x v="0"/>
    <n v="890"/>
    <x v="0"/>
  </r>
  <r>
    <x v="28"/>
    <s v="MSA"/>
    <x v="1"/>
    <x v="3"/>
    <x v="1"/>
    <n v="403"/>
    <x v="0"/>
  </r>
  <r>
    <x v="28"/>
    <s v="MSA"/>
    <x v="1"/>
    <x v="3"/>
    <x v="2"/>
    <n v="490"/>
    <x v="0"/>
  </r>
  <r>
    <x v="28"/>
    <s v="MSA"/>
    <x v="1"/>
    <x v="3"/>
    <x v="3"/>
    <n v="632"/>
    <x v="0"/>
  </r>
  <r>
    <x v="28"/>
    <s v="MSA"/>
    <x v="2"/>
    <x v="0"/>
    <x v="0"/>
    <n v="729"/>
    <x v="0"/>
  </r>
  <r>
    <x v="28"/>
    <s v="MSA"/>
    <x v="2"/>
    <x v="0"/>
    <x v="1"/>
    <n v="954"/>
    <x v="0"/>
  </r>
  <r>
    <x v="28"/>
    <s v="MSA"/>
    <x v="2"/>
    <x v="0"/>
    <x v="2"/>
    <n v="631"/>
    <x v="0"/>
  </r>
  <r>
    <x v="28"/>
    <s v="MSA"/>
    <x v="2"/>
    <x v="0"/>
    <x v="3"/>
    <n v="342"/>
    <x v="0"/>
  </r>
  <r>
    <x v="28"/>
    <s v="MSA"/>
    <x v="2"/>
    <x v="1"/>
    <x v="0"/>
    <n v="263"/>
    <x v="0"/>
  </r>
  <r>
    <x v="28"/>
    <s v="MSA"/>
    <x v="2"/>
    <x v="1"/>
    <x v="1"/>
    <n v="105"/>
    <x v="0"/>
  </r>
  <r>
    <x v="28"/>
    <s v="MSA"/>
    <x v="2"/>
    <x v="1"/>
    <x v="2"/>
    <n v="500"/>
    <x v="0"/>
  </r>
  <r>
    <x v="28"/>
    <s v="MSA"/>
    <x v="2"/>
    <x v="1"/>
    <x v="3"/>
    <n v="24"/>
    <x v="0"/>
  </r>
  <r>
    <x v="28"/>
    <s v="MSA"/>
    <x v="2"/>
    <x v="2"/>
    <x v="0"/>
    <n v="-139"/>
    <x v="0"/>
  </r>
  <r>
    <x v="28"/>
    <s v="MSA"/>
    <x v="2"/>
    <x v="2"/>
    <x v="1"/>
    <n v="-647"/>
    <x v="0"/>
  </r>
  <r>
    <x v="28"/>
    <s v="MSA"/>
    <x v="2"/>
    <x v="2"/>
    <x v="2"/>
    <n v="-390"/>
    <x v="0"/>
  </r>
  <r>
    <x v="28"/>
    <s v="MSA"/>
    <x v="2"/>
    <x v="2"/>
    <x v="3"/>
    <n v="-792"/>
    <x v="0"/>
  </r>
  <r>
    <x v="28"/>
    <s v="MSA"/>
    <x v="2"/>
    <x v="3"/>
    <x v="0"/>
    <n v="-436"/>
    <x v="0"/>
  </r>
  <r>
    <x v="28"/>
    <s v="MSA"/>
    <x v="2"/>
    <x v="3"/>
    <x v="1"/>
    <n v="-492"/>
    <x v="0"/>
  </r>
  <r>
    <x v="28"/>
    <s v="MSA"/>
    <x v="2"/>
    <x v="3"/>
    <x v="2"/>
    <n v="-470"/>
    <x v="0"/>
  </r>
  <r>
    <x v="28"/>
    <s v="MSA"/>
    <x v="2"/>
    <x v="3"/>
    <x v="3"/>
    <n v="-753"/>
    <x v="0"/>
  </r>
  <r>
    <x v="29"/>
    <s v="HPS"/>
    <x v="0"/>
    <x v="0"/>
    <x v="0"/>
    <n v="221"/>
    <x v="0"/>
  </r>
  <r>
    <x v="29"/>
    <s v="HPS"/>
    <x v="0"/>
    <x v="0"/>
    <x v="1"/>
    <n v="259"/>
    <x v="0"/>
  </r>
  <r>
    <x v="29"/>
    <s v="HPS"/>
    <x v="0"/>
    <x v="0"/>
    <x v="2"/>
    <n v="253"/>
    <x v="0"/>
  </r>
  <r>
    <x v="29"/>
    <s v="HPS"/>
    <x v="0"/>
    <x v="0"/>
    <x v="3"/>
    <n v="271"/>
    <x v="0"/>
  </r>
  <r>
    <x v="29"/>
    <s v="HPS"/>
    <x v="0"/>
    <x v="1"/>
    <x v="0"/>
    <n v="265"/>
    <x v="0"/>
  </r>
  <r>
    <x v="29"/>
    <s v="HPS"/>
    <x v="0"/>
    <x v="1"/>
    <x v="1"/>
    <n v="296"/>
    <x v="0"/>
  </r>
  <r>
    <x v="29"/>
    <s v="HPS"/>
    <x v="0"/>
    <x v="1"/>
    <x v="2"/>
    <n v="278"/>
    <x v="0"/>
  </r>
  <r>
    <x v="29"/>
    <s v="HPS"/>
    <x v="0"/>
    <x v="1"/>
    <x v="3"/>
    <n v="336"/>
    <x v="0"/>
  </r>
  <r>
    <x v="29"/>
    <s v="HPS"/>
    <x v="0"/>
    <x v="2"/>
    <x v="0"/>
    <n v="288"/>
    <x v="0"/>
  </r>
  <r>
    <x v="29"/>
    <s v="HPS"/>
    <x v="0"/>
    <x v="2"/>
    <x v="1"/>
    <n v="283"/>
    <x v="0"/>
  </r>
  <r>
    <x v="29"/>
    <s v="HPS"/>
    <x v="0"/>
    <x v="2"/>
    <x v="2"/>
    <n v="295"/>
    <x v="0"/>
  </r>
  <r>
    <x v="29"/>
    <s v="HPS"/>
    <x v="0"/>
    <x v="2"/>
    <x v="3"/>
    <n v="383"/>
    <x v="0"/>
  </r>
  <r>
    <x v="29"/>
    <s v="HPS"/>
    <x v="0"/>
    <x v="3"/>
    <x v="0"/>
    <n v="309"/>
    <x v="0"/>
  </r>
  <r>
    <x v="29"/>
    <s v="HPS"/>
    <x v="0"/>
    <x v="3"/>
    <x v="1"/>
    <n v="354"/>
    <x v="0"/>
  </r>
  <r>
    <x v="29"/>
    <s v="HPS"/>
    <x v="0"/>
    <x v="3"/>
    <x v="2"/>
    <n v="358"/>
    <x v="0"/>
  </r>
  <r>
    <x v="29"/>
    <s v="HPS"/>
    <x v="0"/>
    <x v="3"/>
    <x v="3"/>
    <n v="517"/>
    <x v="0"/>
  </r>
  <r>
    <x v="29"/>
    <s v="HPS"/>
    <x v="2"/>
    <x v="0"/>
    <x v="0"/>
    <n v="171"/>
    <x v="0"/>
  </r>
  <r>
    <x v="29"/>
    <s v="HPS"/>
    <x v="2"/>
    <x v="0"/>
    <x v="1"/>
    <n v="165"/>
    <x v="0"/>
  </r>
  <r>
    <x v="29"/>
    <s v="HPS"/>
    <x v="2"/>
    <x v="0"/>
    <x v="2"/>
    <n v="155"/>
    <x v="0"/>
  </r>
  <r>
    <x v="29"/>
    <s v="HPS"/>
    <x v="2"/>
    <x v="0"/>
    <x v="3"/>
    <n v="159"/>
    <x v="0"/>
  </r>
  <r>
    <x v="29"/>
    <s v="HPS"/>
    <x v="2"/>
    <x v="1"/>
    <x v="0"/>
    <n v="104"/>
    <x v="0"/>
  </r>
  <r>
    <x v="29"/>
    <s v="HPS"/>
    <x v="2"/>
    <x v="1"/>
    <x v="1"/>
    <n v="124"/>
    <x v="0"/>
  </r>
  <r>
    <x v="29"/>
    <s v="HPS"/>
    <x v="2"/>
    <x v="1"/>
    <x v="2"/>
    <n v="92"/>
    <x v="0"/>
  </r>
  <r>
    <x v="29"/>
    <s v="HPS"/>
    <x v="2"/>
    <x v="1"/>
    <x v="3"/>
    <n v="87"/>
    <x v="0"/>
  </r>
  <r>
    <x v="29"/>
    <s v="HPS"/>
    <x v="2"/>
    <x v="2"/>
    <x v="0"/>
    <n v="102"/>
    <x v="0"/>
  </r>
  <r>
    <x v="29"/>
    <s v="HPS"/>
    <x v="2"/>
    <x v="2"/>
    <x v="1"/>
    <n v="109"/>
    <x v="0"/>
  </r>
  <r>
    <x v="29"/>
    <s v="HPS"/>
    <x v="2"/>
    <x v="2"/>
    <x v="2"/>
    <n v="455"/>
    <x v="0"/>
  </r>
  <r>
    <x v="29"/>
    <s v="HPS"/>
    <x v="2"/>
    <x v="2"/>
    <x v="3"/>
    <n v="551"/>
    <x v="0"/>
  </r>
  <r>
    <x v="29"/>
    <s v="HPS"/>
    <x v="2"/>
    <x v="3"/>
    <x v="0"/>
    <n v="542"/>
    <x v="0"/>
  </r>
  <r>
    <x v="29"/>
    <s v="HPS"/>
    <x v="2"/>
    <x v="3"/>
    <x v="1"/>
    <n v="533"/>
    <x v="0"/>
  </r>
  <r>
    <x v="29"/>
    <s v="HPS"/>
    <x v="2"/>
    <x v="3"/>
    <x v="2"/>
    <n v="465"/>
    <x v="0"/>
  </r>
  <r>
    <x v="29"/>
    <s v="HPS"/>
    <x v="2"/>
    <x v="3"/>
    <x v="3"/>
    <n v="423"/>
    <x v="0"/>
  </r>
  <r>
    <x v="30"/>
    <s v="MNG"/>
    <x v="0"/>
    <x v="0"/>
    <x v="0"/>
    <n v="2791"/>
    <x v="0"/>
  </r>
  <r>
    <x v="30"/>
    <s v="MNG"/>
    <x v="0"/>
    <x v="0"/>
    <x v="1"/>
    <n v="2675"/>
    <x v="0"/>
  </r>
  <r>
    <x v="30"/>
    <s v="MNG"/>
    <x v="0"/>
    <x v="0"/>
    <x v="2"/>
    <n v="1910"/>
    <x v="0"/>
  </r>
  <r>
    <x v="30"/>
    <s v="MNG"/>
    <x v="0"/>
    <x v="0"/>
    <x v="3"/>
    <n v="2269"/>
    <x v="0"/>
  </r>
  <r>
    <x v="30"/>
    <s v="MNG"/>
    <x v="0"/>
    <x v="1"/>
    <x v="0"/>
    <n v="2220"/>
    <x v="0"/>
  </r>
  <r>
    <x v="30"/>
    <s v="MNG"/>
    <x v="0"/>
    <x v="1"/>
    <x v="1"/>
    <n v="1962"/>
    <x v="0"/>
  </r>
  <r>
    <x v="30"/>
    <s v="MNG"/>
    <x v="0"/>
    <x v="1"/>
    <x v="2"/>
    <n v="1757"/>
    <x v="0"/>
  </r>
  <r>
    <x v="30"/>
    <s v="MNG"/>
    <x v="0"/>
    <x v="1"/>
    <x v="3"/>
    <n v="1569"/>
    <x v="0"/>
  </r>
  <r>
    <x v="30"/>
    <s v="MNG"/>
    <x v="0"/>
    <x v="2"/>
    <x v="0"/>
    <n v="1935"/>
    <x v="0"/>
  </r>
  <r>
    <x v="30"/>
    <s v="MNG"/>
    <x v="0"/>
    <x v="2"/>
    <x v="1"/>
    <n v="2473"/>
    <x v="0"/>
  </r>
  <r>
    <x v="30"/>
    <s v="MNG"/>
    <x v="0"/>
    <x v="2"/>
    <x v="2"/>
    <n v="2127"/>
    <x v="0"/>
  </r>
  <r>
    <x v="30"/>
    <s v="MNG"/>
    <x v="0"/>
    <x v="2"/>
    <x v="3"/>
    <n v="2325"/>
    <x v="0"/>
  </r>
  <r>
    <x v="30"/>
    <s v="MNG"/>
    <x v="0"/>
    <x v="3"/>
    <x v="0"/>
    <n v="2324"/>
    <x v="0"/>
  </r>
  <r>
    <x v="30"/>
    <s v="MNG"/>
    <x v="0"/>
    <x v="3"/>
    <x v="1"/>
    <n v="2098"/>
    <x v="0"/>
  </r>
  <r>
    <x v="30"/>
    <s v="MNG"/>
    <x v="0"/>
    <x v="3"/>
    <x v="2"/>
    <n v="2998"/>
    <x v="0"/>
  </r>
  <r>
    <x v="30"/>
    <s v="MNG"/>
    <x v="0"/>
    <x v="3"/>
    <x v="3"/>
    <n v="2325"/>
    <x v="0"/>
  </r>
  <r>
    <x v="30"/>
    <s v="MNG"/>
    <x v="1"/>
    <x v="0"/>
    <x v="0"/>
    <n v="385"/>
    <x v="0"/>
  </r>
  <r>
    <x v="30"/>
    <s v="MNG"/>
    <x v="1"/>
    <x v="0"/>
    <x v="1"/>
    <n v="571"/>
    <x v="0"/>
  </r>
  <r>
    <x v="30"/>
    <s v="MNG"/>
    <x v="1"/>
    <x v="0"/>
    <x v="2"/>
    <n v="474"/>
    <x v="0"/>
  </r>
  <r>
    <x v="30"/>
    <s v="MNG"/>
    <x v="1"/>
    <x v="0"/>
    <x v="3"/>
    <n v="744"/>
    <x v="0"/>
  </r>
  <r>
    <x v="30"/>
    <s v="MNG"/>
    <x v="1"/>
    <x v="1"/>
    <x v="0"/>
    <n v="494"/>
    <x v="0"/>
  </r>
  <r>
    <x v="30"/>
    <s v="MNG"/>
    <x v="1"/>
    <x v="1"/>
    <x v="1"/>
    <n v="668"/>
    <x v="0"/>
  </r>
  <r>
    <x v="30"/>
    <s v="MNG"/>
    <x v="1"/>
    <x v="1"/>
    <x v="2"/>
    <n v="606"/>
    <x v="0"/>
  </r>
  <r>
    <x v="30"/>
    <s v="MNG"/>
    <x v="1"/>
    <x v="1"/>
    <x v="3"/>
    <n v="984"/>
    <x v="0"/>
  </r>
  <r>
    <x v="30"/>
    <s v="MNG"/>
    <x v="1"/>
    <x v="2"/>
    <x v="0"/>
    <n v="1332"/>
    <x v="0"/>
  </r>
  <r>
    <x v="30"/>
    <s v="MNG"/>
    <x v="1"/>
    <x v="2"/>
    <x v="1"/>
    <n v="1352"/>
    <x v="0"/>
  </r>
  <r>
    <x v="30"/>
    <s v="MNG"/>
    <x v="1"/>
    <x v="2"/>
    <x v="2"/>
    <n v="1575"/>
    <x v="0"/>
  </r>
  <r>
    <x v="30"/>
    <s v="MNG"/>
    <x v="1"/>
    <x v="2"/>
    <x v="3"/>
    <n v="2993"/>
    <x v="0"/>
  </r>
  <r>
    <x v="30"/>
    <s v="MNG"/>
    <x v="1"/>
    <x v="3"/>
    <x v="0"/>
    <n v="1504"/>
    <x v="0"/>
  </r>
  <r>
    <x v="30"/>
    <s v="MNG"/>
    <x v="1"/>
    <x v="3"/>
    <x v="1"/>
    <n v="1382"/>
    <x v="0"/>
  </r>
  <r>
    <x v="30"/>
    <s v="MNG"/>
    <x v="1"/>
    <x v="3"/>
    <x v="2"/>
    <n v="1480"/>
    <x v="0"/>
  </r>
  <r>
    <x v="30"/>
    <s v="MNG"/>
    <x v="1"/>
    <x v="3"/>
    <x v="3"/>
    <n v="2993"/>
    <x v="0"/>
  </r>
  <r>
    <x v="30"/>
    <s v="MNG"/>
    <x v="2"/>
    <x v="0"/>
    <x v="0"/>
    <n v="4633"/>
    <x v="0"/>
  </r>
  <r>
    <x v="30"/>
    <s v="MNG"/>
    <x v="2"/>
    <x v="0"/>
    <x v="1"/>
    <n v="4205"/>
    <x v="0"/>
  </r>
  <r>
    <x v="30"/>
    <s v="MNG"/>
    <x v="2"/>
    <x v="0"/>
    <x v="2"/>
    <n v="4100"/>
    <x v="0"/>
  </r>
  <r>
    <x v="30"/>
    <s v="MNG"/>
    <x v="2"/>
    <x v="0"/>
    <x v="3"/>
    <n v="4347"/>
    <x v="0"/>
  </r>
  <r>
    <x v="30"/>
    <s v="MNG"/>
    <x v="2"/>
    <x v="1"/>
    <x v="0"/>
    <n v="4639"/>
    <x v="0"/>
  </r>
  <r>
    <x v="30"/>
    <s v="MNG"/>
    <x v="2"/>
    <x v="1"/>
    <x v="1"/>
    <n v="6588"/>
    <x v="0"/>
  </r>
  <r>
    <x v="30"/>
    <s v="MNG"/>
    <x v="2"/>
    <x v="1"/>
    <x v="2"/>
    <n v="7080"/>
    <x v="0"/>
  </r>
  <r>
    <x v="30"/>
    <s v="MNG"/>
    <x v="2"/>
    <x v="1"/>
    <x v="3"/>
    <n v="7588"/>
    <x v="0"/>
  </r>
  <r>
    <x v="30"/>
    <s v="MNG"/>
    <x v="2"/>
    <x v="2"/>
    <x v="0"/>
    <n v="8799"/>
    <x v="0"/>
  </r>
  <r>
    <x v="30"/>
    <s v="MNG"/>
    <x v="2"/>
    <x v="2"/>
    <x v="1"/>
    <n v="7143"/>
    <x v="0"/>
  </r>
  <r>
    <x v="30"/>
    <s v="MNG"/>
    <x v="2"/>
    <x v="2"/>
    <x v="2"/>
    <n v="9143"/>
    <x v="0"/>
  </r>
  <r>
    <x v="30"/>
    <s v="MNG"/>
    <x v="2"/>
    <x v="2"/>
    <x v="3"/>
    <n v="10272"/>
    <x v="0"/>
  </r>
  <r>
    <x v="30"/>
    <s v="MNG"/>
    <x v="2"/>
    <x v="3"/>
    <x v="0"/>
    <n v="11901"/>
    <x v="0"/>
  </r>
  <r>
    <x v="30"/>
    <s v="MNG"/>
    <x v="2"/>
    <x v="3"/>
    <x v="1"/>
    <n v="14335"/>
    <x v="0"/>
  </r>
  <r>
    <x v="30"/>
    <s v="MNG"/>
    <x v="2"/>
    <x v="3"/>
    <x v="2"/>
    <n v="15881"/>
    <x v="0"/>
  </r>
  <r>
    <x v="30"/>
    <s v="MNG"/>
    <x v="2"/>
    <x v="3"/>
    <x v="3"/>
    <n v="12674"/>
    <x v="0"/>
  </r>
  <r>
    <x v="31"/>
    <s v="CMT"/>
    <x v="0"/>
    <x v="0"/>
    <x v="0"/>
    <n v="77"/>
    <x v="0"/>
  </r>
  <r>
    <x v="31"/>
    <s v="CMT"/>
    <x v="0"/>
    <x v="0"/>
    <x v="1"/>
    <n v="136"/>
    <x v="0"/>
  </r>
  <r>
    <x v="31"/>
    <s v="CMT"/>
    <x v="0"/>
    <x v="0"/>
    <x v="2"/>
    <n v="172"/>
    <x v="0"/>
  </r>
  <r>
    <x v="31"/>
    <s v="CMT"/>
    <x v="0"/>
    <x v="0"/>
    <x v="3"/>
    <n v="204"/>
    <x v="0"/>
  </r>
  <r>
    <x v="31"/>
    <s v="CMT"/>
    <x v="0"/>
    <x v="1"/>
    <x v="0"/>
    <n v="131"/>
    <x v="0"/>
  </r>
  <r>
    <x v="31"/>
    <s v="CMT"/>
    <x v="0"/>
    <x v="1"/>
    <x v="1"/>
    <n v="144"/>
    <x v="0"/>
  </r>
  <r>
    <x v="31"/>
    <s v="CMT"/>
    <x v="0"/>
    <x v="1"/>
    <x v="2"/>
    <n v="162"/>
    <x v="0"/>
  </r>
  <r>
    <x v="31"/>
    <s v="CMT"/>
    <x v="0"/>
    <x v="1"/>
    <x v="3"/>
    <n v="153"/>
    <x v="0"/>
  </r>
  <r>
    <x v="31"/>
    <s v="CMT"/>
    <x v="0"/>
    <x v="2"/>
    <x v="0"/>
    <n v="140"/>
    <x v="0"/>
  </r>
  <r>
    <x v="31"/>
    <s v="CMT"/>
    <x v="0"/>
    <x v="2"/>
    <x v="1"/>
    <n v="141"/>
    <x v="0"/>
  </r>
  <r>
    <x v="31"/>
    <s v="CMT"/>
    <x v="0"/>
    <x v="2"/>
    <x v="2"/>
    <n v="173"/>
    <x v="0"/>
  </r>
  <r>
    <x v="31"/>
    <s v="CMT"/>
    <x v="0"/>
    <x v="2"/>
    <x v="3"/>
    <n v="132"/>
    <x v="0"/>
  </r>
  <r>
    <x v="31"/>
    <s v="CMT"/>
    <x v="0"/>
    <x v="3"/>
    <x v="0"/>
    <n v="169"/>
    <x v="0"/>
  </r>
  <r>
    <x v="31"/>
    <s v="CMT"/>
    <x v="0"/>
    <x v="3"/>
    <x v="1"/>
    <n v="173"/>
    <x v="0"/>
  </r>
  <r>
    <x v="31"/>
    <s v="CMT"/>
    <x v="0"/>
    <x v="3"/>
    <x v="2"/>
    <n v="180"/>
    <x v="0"/>
  </r>
  <r>
    <x v="31"/>
    <s v="CMT"/>
    <x v="0"/>
    <x v="3"/>
    <x v="3"/>
    <n v="168"/>
    <x v="0"/>
  </r>
  <r>
    <x v="31"/>
    <s v="CMT"/>
    <x v="1"/>
    <x v="0"/>
    <x v="0"/>
    <n v="28"/>
    <x v="0"/>
  </r>
  <r>
    <x v="31"/>
    <s v="CMT"/>
    <x v="1"/>
    <x v="0"/>
    <x v="1"/>
    <n v="27"/>
    <x v="0"/>
  </r>
  <r>
    <x v="31"/>
    <s v="CMT"/>
    <x v="1"/>
    <x v="0"/>
    <x v="2"/>
    <n v="19"/>
    <x v="0"/>
  </r>
  <r>
    <x v="31"/>
    <s v="CMT"/>
    <x v="1"/>
    <x v="0"/>
    <x v="3"/>
    <n v="18"/>
    <x v="0"/>
  </r>
  <r>
    <x v="31"/>
    <s v="CMT"/>
    <x v="1"/>
    <x v="1"/>
    <x v="0"/>
    <n v="16"/>
    <x v="0"/>
  </r>
  <r>
    <x v="31"/>
    <s v="CMT"/>
    <x v="1"/>
    <x v="1"/>
    <x v="1"/>
    <n v="37"/>
    <x v="0"/>
  </r>
  <r>
    <x v="31"/>
    <s v="CMT"/>
    <x v="1"/>
    <x v="1"/>
    <x v="2"/>
    <n v="21"/>
    <x v="0"/>
  </r>
  <r>
    <x v="31"/>
    <s v="CMT"/>
    <x v="1"/>
    <x v="1"/>
    <x v="3"/>
    <n v="33"/>
    <x v="0"/>
  </r>
  <r>
    <x v="31"/>
    <s v="CMT"/>
    <x v="1"/>
    <x v="2"/>
    <x v="0"/>
    <n v="21"/>
    <x v="0"/>
  </r>
  <r>
    <x v="31"/>
    <s v="CMT"/>
    <x v="1"/>
    <x v="2"/>
    <x v="1"/>
    <n v="33"/>
    <x v="0"/>
  </r>
  <r>
    <x v="31"/>
    <s v="CMT"/>
    <x v="1"/>
    <x v="2"/>
    <x v="2"/>
    <n v="12"/>
    <x v="0"/>
  </r>
  <r>
    <x v="31"/>
    <s v="CMT"/>
    <x v="1"/>
    <x v="2"/>
    <x v="3"/>
    <n v="37"/>
    <x v="0"/>
  </r>
  <r>
    <x v="31"/>
    <s v="CMT"/>
    <x v="1"/>
    <x v="3"/>
    <x v="0"/>
    <n v="9"/>
    <x v="0"/>
  </r>
  <r>
    <x v="31"/>
    <s v="CMT"/>
    <x v="1"/>
    <x v="3"/>
    <x v="1"/>
    <n v="18"/>
    <x v="0"/>
  </r>
  <r>
    <x v="31"/>
    <s v="CMT"/>
    <x v="1"/>
    <x v="3"/>
    <x v="2"/>
    <n v="21"/>
    <x v="0"/>
  </r>
  <r>
    <x v="31"/>
    <s v="CMT"/>
    <x v="1"/>
    <x v="3"/>
    <x v="3"/>
    <n v="14"/>
    <x v="0"/>
  </r>
  <r>
    <x v="31"/>
    <s v="CMT"/>
    <x v="2"/>
    <x v="0"/>
    <x v="0"/>
    <n v="361"/>
    <x v="0"/>
  </r>
  <r>
    <x v="31"/>
    <s v="CMT"/>
    <x v="2"/>
    <x v="0"/>
    <x v="1"/>
    <n v="310"/>
    <x v="0"/>
  </r>
  <r>
    <x v="31"/>
    <s v="CMT"/>
    <x v="2"/>
    <x v="0"/>
    <x v="2"/>
    <n v="197"/>
    <x v="0"/>
  </r>
  <r>
    <x v="31"/>
    <s v="CMT"/>
    <x v="2"/>
    <x v="0"/>
    <x v="3"/>
    <n v="282"/>
    <x v="0"/>
  </r>
  <r>
    <x v="31"/>
    <s v="CMT"/>
    <x v="2"/>
    <x v="1"/>
    <x v="0"/>
    <n v="100"/>
    <x v="0"/>
  </r>
  <r>
    <x v="31"/>
    <s v="CMT"/>
    <x v="2"/>
    <x v="1"/>
    <x v="1"/>
    <n v="194"/>
    <x v="0"/>
  </r>
  <r>
    <x v="31"/>
    <s v="CMT"/>
    <x v="2"/>
    <x v="1"/>
    <x v="2"/>
    <n v="503"/>
    <x v="0"/>
  </r>
  <r>
    <x v="31"/>
    <s v="CMT"/>
    <x v="2"/>
    <x v="1"/>
    <x v="3"/>
    <n v="400"/>
    <x v="0"/>
  </r>
  <r>
    <x v="31"/>
    <s v="CMT"/>
    <x v="2"/>
    <x v="2"/>
    <x v="0"/>
    <n v="360"/>
    <x v="0"/>
  </r>
  <r>
    <x v="31"/>
    <s v="CMT"/>
    <x v="2"/>
    <x v="2"/>
    <x v="1"/>
    <n v="319"/>
    <x v="0"/>
  </r>
  <r>
    <x v="31"/>
    <s v="CMT"/>
    <x v="2"/>
    <x v="2"/>
    <x v="2"/>
    <n v="291"/>
    <x v="0"/>
  </r>
  <r>
    <x v="31"/>
    <s v="CMT"/>
    <x v="2"/>
    <x v="2"/>
    <x v="3"/>
    <n v="231"/>
    <x v="0"/>
  </r>
  <r>
    <x v="31"/>
    <s v="CMT"/>
    <x v="2"/>
    <x v="3"/>
    <x v="0"/>
    <n v="209"/>
    <x v="0"/>
  </r>
  <r>
    <x v="31"/>
    <s v="CMT"/>
    <x v="2"/>
    <x v="3"/>
    <x v="1"/>
    <n v="141"/>
    <x v="0"/>
  </r>
  <r>
    <x v="31"/>
    <s v="CMT"/>
    <x v="2"/>
    <x v="3"/>
    <x v="2"/>
    <n v="138"/>
    <x v="0"/>
  </r>
  <r>
    <x v="31"/>
    <s v="CMT"/>
    <x v="2"/>
    <x v="3"/>
    <x v="3"/>
    <n v="70"/>
    <x v="0"/>
  </r>
  <r>
    <x v="32"/>
    <s v="SMI"/>
    <x v="0"/>
    <x v="0"/>
    <x v="0"/>
    <n v="217"/>
    <x v="0"/>
  </r>
  <r>
    <x v="32"/>
    <s v="SMI"/>
    <x v="0"/>
    <x v="0"/>
    <x v="1"/>
    <n v="202"/>
    <x v="0"/>
  </r>
  <r>
    <x v="32"/>
    <s v="SMI"/>
    <x v="0"/>
    <x v="0"/>
    <x v="2"/>
    <n v="136"/>
    <x v="0"/>
  </r>
  <r>
    <x v="32"/>
    <s v="SMI"/>
    <x v="0"/>
    <x v="0"/>
    <x v="3"/>
    <n v="243"/>
    <x v="0"/>
  </r>
  <r>
    <x v="32"/>
    <s v="SMI"/>
    <x v="0"/>
    <x v="1"/>
    <x v="0"/>
    <n v="214"/>
    <x v="0"/>
  </r>
  <r>
    <x v="32"/>
    <s v="SMI"/>
    <x v="0"/>
    <x v="1"/>
    <x v="1"/>
    <n v="318"/>
    <x v="0"/>
  </r>
  <r>
    <x v="32"/>
    <s v="SMI"/>
    <x v="0"/>
    <x v="1"/>
    <x v="2"/>
    <n v="248"/>
    <x v="0"/>
  </r>
  <r>
    <x v="32"/>
    <s v="SMI"/>
    <x v="0"/>
    <x v="1"/>
    <x v="3"/>
    <n v="286"/>
    <x v="0"/>
  </r>
  <r>
    <x v="32"/>
    <s v="SMI"/>
    <x v="0"/>
    <x v="2"/>
    <x v="0"/>
    <n v="251"/>
    <x v="0"/>
  </r>
  <r>
    <x v="32"/>
    <s v="SMI"/>
    <x v="0"/>
    <x v="2"/>
    <x v="1"/>
    <n v="320"/>
    <x v="0"/>
  </r>
  <r>
    <x v="32"/>
    <s v="SMI"/>
    <x v="0"/>
    <x v="2"/>
    <x v="2"/>
    <n v="250"/>
    <x v="0"/>
  </r>
  <r>
    <x v="32"/>
    <s v="SMI"/>
    <x v="0"/>
    <x v="2"/>
    <x v="3"/>
    <n v="232"/>
    <x v="0"/>
  </r>
  <r>
    <x v="32"/>
    <s v="SMI"/>
    <x v="0"/>
    <x v="3"/>
    <x v="0"/>
    <n v="302"/>
    <x v="0"/>
  </r>
  <r>
    <x v="32"/>
    <s v="SMI"/>
    <x v="0"/>
    <x v="3"/>
    <x v="1"/>
    <n v="326"/>
    <x v="0"/>
  </r>
  <r>
    <x v="32"/>
    <s v="SMI"/>
    <x v="0"/>
    <x v="3"/>
    <x v="2"/>
    <n v="349"/>
    <x v="0"/>
  </r>
  <r>
    <x v="32"/>
    <s v="SMI"/>
    <x v="0"/>
    <x v="3"/>
    <x v="3"/>
    <n v="232"/>
    <x v="0"/>
  </r>
  <r>
    <x v="32"/>
    <s v="SMI"/>
    <x v="1"/>
    <x v="0"/>
    <x v="0"/>
    <n v="41"/>
    <x v="0"/>
  </r>
  <r>
    <x v="32"/>
    <s v="SMI"/>
    <x v="1"/>
    <x v="0"/>
    <x v="1"/>
    <n v="62"/>
    <x v="0"/>
  </r>
  <r>
    <x v="32"/>
    <s v="SMI"/>
    <x v="1"/>
    <x v="0"/>
    <x v="2"/>
    <n v="55"/>
    <x v="0"/>
  </r>
  <r>
    <x v="32"/>
    <s v="SMI"/>
    <x v="1"/>
    <x v="0"/>
    <x v="3"/>
    <n v="63"/>
    <x v="0"/>
  </r>
  <r>
    <x v="32"/>
    <s v="SMI"/>
    <x v="1"/>
    <x v="1"/>
    <x v="0"/>
    <n v="45"/>
    <x v="0"/>
  </r>
  <r>
    <x v="32"/>
    <s v="SMI"/>
    <x v="1"/>
    <x v="1"/>
    <x v="1"/>
    <n v="44"/>
    <x v="0"/>
  </r>
  <r>
    <x v="32"/>
    <s v="SMI"/>
    <x v="1"/>
    <x v="1"/>
    <x v="2"/>
    <n v="34"/>
    <x v="0"/>
  </r>
  <r>
    <x v="32"/>
    <s v="SMI"/>
    <x v="1"/>
    <x v="1"/>
    <x v="3"/>
    <n v="52"/>
    <x v="0"/>
  </r>
  <r>
    <x v="32"/>
    <s v="SMI"/>
    <x v="1"/>
    <x v="2"/>
    <x v="0"/>
    <n v="39"/>
    <x v="0"/>
  </r>
  <r>
    <x v="32"/>
    <s v="SMI"/>
    <x v="1"/>
    <x v="2"/>
    <x v="1"/>
    <n v="53"/>
    <x v="0"/>
  </r>
  <r>
    <x v="32"/>
    <s v="SMI"/>
    <x v="1"/>
    <x v="2"/>
    <x v="2"/>
    <n v="55"/>
    <x v="0"/>
  </r>
  <r>
    <x v="32"/>
    <s v="SMI"/>
    <x v="1"/>
    <x v="2"/>
    <x v="3"/>
    <n v="66"/>
    <x v="0"/>
  </r>
  <r>
    <x v="32"/>
    <s v="SMI"/>
    <x v="1"/>
    <x v="3"/>
    <x v="0"/>
    <n v="49"/>
    <x v="0"/>
  </r>
  <r>
    <x v="32"/>
    <s v="SMI"/>
    <x v="1"/>
    <x v="3"/>
    <x v="1"/>
    <n v="49"/>
    <x v="0"/>
  </r>
  <r>
    <x v="32"/>
    <s v="SMI"/>
    <x v="1"/>
    <x v="3"/>
    <x v="2"/>
    <n v="63"/>
    <x v="0"/>
  </r>
  <r>
    <x v="32"/>
    <s v="SMI"/>
    <x v="1"/>
    <x v="3"/>
    <x v="3"/>
    <n v="66"/>
    <x v="0"/>
  </r>
  <r>
    <x v="32"/>
    <s v="SMI"/>
    <x v="2"/>
    <x v="0"/>
    <x v="0"/>
    <n v="-9"/>
    <x v="0"/>
  </r>
  <r>
    <x v="32"/>
    <s v="SMI"/>
    <x v="2"/>
    <x v="0"/>
    <x v="1"/>
    <n v="-78"/>
    <x v="0"/>
  </r>
  <r>
    <x v="32"/>
    <s v="SMI"/>
    <x v="2"/>
    <x v="0"/>
    <x v="2"/>
    <n v="-23"/>
    <x v="0"/>
  </r>
  <r>
    <x v="32"/>
    <s v="SMI"/>
    <x v="2"/>
    <x v="0"/>
    <x v="3"/>
    <n v="56"/>
    <x v="0"/>
  </r>
  <r>
    <x v="32"/>
    <s v="SMI"/>
    <x v="2"/>
    <x v="1"/>
    <x v="0"/>
    <n v="31"/>
    <x v="0"/>
  </r>
  <r>
    <x v="32"/>
    <s v="SMI"/>
    <x v="2"/>
    <x v="1"/>
    <x v="1"/>
    <n v="-66"/>
    <x v="0"/>
  </r>
  <r>
    <x v="32"/>
    <s v="SMI"/>
    <x v="2"/>
    <x v="1"/>
    <x v="2"/>
    <n v="-201"/>
    <x v="0"/>
  </r>
  <r>
    <x v="32"/>
    <s v="SMI"/>
    <x v="2"/>
    <x v="1"/>
    <x v="3"/>
    <n v="-340"/>
    <x v="0"/>
  </r>
  <r>
    <x v="32"/>
    <s v="SMI"/>
    <x v="2"/>
    <x v="2"/>
    <x v="0"/>
    <n v="-332"/>
    <x v="0"/>
  </r>
  <r>
    <x v="32"/>
    <s v="SMI"/>
    <x v="2"/>
    <x v="2"/>
    <x v="1"/>
    <n v="-229"/>
    <x v="0"/>
  </r>
  <r>
    <x v="32"/>
    <s v="SMI"/>
    <x v="2"/>
    <x v="2"/>
    <x v="2"/>
    <n v="-280"/>
    <x v="0"/>
  </r>
  <r>
    <x v="32"/>
    <s v="SMI"/>
    <x v="2"/>
    <x v="2"/>
    <x v="3"/>
    <n v="-312"/>
    <x v="0"/>
  </r>
  <r>
    <x v="32"/>
    <s v="SMI"/>
    <x v="2"/>
    <x v="3"/>
    <x v="0"/>
    <n v="-216"/>
    <x v="0"/>
  </r>
  <r>
    <x v="32"/>
    <s v="SMI"/>
    <x v="2"/>
    <x v="3"/>
    <x v="1"/>
    <n v="176"/>
    <x v="0"/>
  </r>
  <r>
    <x v="32"/>
    <s v="SMI"/>
    <x v="2"/>
    <x v="3"/>
    <x v="2"/>
    <n v="152"/>
    <x v="0"/>
  </r>
  <r>
    <x v="33"/>
    <s v="IAM"/>
    <x v="0"/>
    <x v="0"/>
    <x v="0"/>
    <n v="8770"/>
    <x v="0"/>
  </r>
  <r>
    <x v="33"/>
    <s v="IAM"/>
    <x v="0"/>
    <x v="0"/>
    <x v="1"/>
    <n v="8798"/>
    <x v="0"/>
  </r>
  <r>
    <x v="33"/>
    <s v="IAM"/>
    <x v="0"/>
    <x v="0"/>
    <x v="2"/>
    <n v="9240"/>
    <x v="0"/>
  </r>
  <r>
    <x v="33"/>
    <s v="IAM"/>
    <x v="0"/>
    <x v="0"/>
    <x v="3"/>
    <n v="8923"/>
    <x v="0"/>
  </r>
  <r>
    <x v="33"/>
    <s v="IAM"/>
    <x v="0"/>
    <x v="1"/>
    <x v="0"/>
    <n v="9093"/>
    <x v="0"/>
  </r>
  <r>
    <x v="33"/>
    <s v="IAM"/>
    <x v="0"/>
    <x v="1"/>
    <x v="1"/>
    <n v="9306"/>
    <x v="0"/>
  </r>
  <r>
    <x v="33"/>
    <s v="IAM"/>
    <x v="0"/>
    <x v="1"/>
    <x v="2"/>
    <n v="9279"/>
    <x v="0"/>
  </r>
  <r>
    <x v="33"/>
    <s v="IAM"/>
    <x v="0"/>
    <x v="1"/>
    <x v="3"/>
    <n v="9107"/>
    <x v="0"/>
  </r>
  <r>
    <x v="33"/>
    <s v="IAM"/>
    <x v="0"/>
    <x v="2"/>
    <x v="0"/>
    <n v="9066"/>
    <x v="0"/>
  </r>
  <r>
    <x v="33"/>
    <s v="IAM"/>
    <x v="0"/>
    <x v="2"/>
    <x v="1"/>
    <n v="9194"/>
    <x v="0"/>
  </r>
  <r>
    <x v="33"/>
    <s v="IAM"/>
    <x v="0"/>
    <x v="2"/>
    <x v="2"/>
    <n v="9201"/>
    <x v="0"/>
  </r>
  <r>
    <x v="33"/>
    <s v="IAM"/>
    <x v="0"/>
    <x v="2"/>
    <x v="3"/>
    <n v="9238"/>
    <x v="0"/>
  </r>
  <r>
    <x v="33"/>
    <s v="IAM"/>
    <x v="0"/>
    <x v="3"/>
    <x v="0"/>
    <n v="8884"/>
    <x v="0"/>
  </r>
  <r>
    <x v="33"/>
    <s v="IAM"/>
    <x v="0"/>
    <x v="3"/>
    <x v="1"/>
    <n v="9157"/>
    <x v="0"/>
  </r>
  <r>
    <x v="33"/>
    <s v="IAM"/>
    <x v="0"/>
    <x v="3"/>
    <x v="2"/>
    <n v="9236"/>
    <x v="0"/>
  </r>
  <r>
    <x v="33"/>
    <s v="IAM"/>
    <x v="0"/>
    <x v="3"/>
    <x v="3"/>
    <n v="9398"/>
    <x v="0"/>
  </r>
  <r>
    <x v="33"/>
    <s v="IAM"/>
    <x v="1"/>
    <x v="0"/>
    <x v="0"/>
    <n v="1137"/>
    <x v="0"/>
  </r>
  <r>
    <x v="33"/>
    <s v="IAM"/>
    <x v="1"/>
    <x v="0"/>
    <x v="1"/>
    <n v="2583"/>
    <x v="0"/>
  </r>
  <r>
    <x v="33"/>
    <s v="IAM"/>
    <x v="1"/>
    <x v="0"/>
    <x v="2"/>
    <n v="1777"/>
    <x v="0"/>
  </r>
  <r>
    <x v="33"/>
    <s v="IAM"/>
    <x v="1"/>
    <x v="0"/>
    <x v="3"/>
    <n v="2075"/>
    <x v="0"/>
  </r>
  <r>
    <x v="33"/>
    <s v="IAM"/>
    <x v="1"/>
    <x v="1"/>
    <x v="0"/>
    <n v="855"/>
    <x v="0"/>
  </r>
  <r>
    <x v="33"/>
    <s v="IAM"/>
    <x v="1"/>
    <x v="1"/>
    <x v="1"/>
    <n v="2091"/>
    <x v="0"/>
  </r>
  <r>
    <x v="33"/>
    <s v="IAM"/>
    <x v="1"/>
    <x v="1"/>
    <x v="2"/>
    <n v="2777"/>
    <x v="0"/>
  </r>
  <r>
    <x v="33"/>
    <s v="IAM"/>
    <x v="1"/>
    <x v="1"/>
    <x v="3"/>
    <n v="2116"/>
    <x v="0"/>
  </r>
  <r>
    <x v="33"/>
    <s v="IAM"/>
    <x v="1"/>
    <x v="2"/>
    <x v="0"/>
    <n v="1280"/>
    <x v="0"/>
  </r>
  <r>
    <x v="33"/>
    <s v="IAM"/>
    <x v="1"/>
    <x v="2"/>
    <x v="1"/>
    <n v="1953"/>
    <x v="0"/>
  </r>
  <r>
    <x v="33"/>
    <s v="IAM"/>
    <x v="1"/>
    <x v="2"/>
    <x v="2"/>
    <n v="2028"/>
    <x v="0"/>
  </r>
  <r>
    <x v="33"/>
    <s v="IAM"/>
    <x v="1"/>
    <x v="2"/>
    <x v="3"/>
    <n v="5904"/>
    <x v="0"/>
  </r>
  <r>
    <x v="33"/>
    <s v="IAM"/>
    <x v="1"/>
    <x v="3"/>
    <x v="0"/>
    <n v="1134"/>
    <x v="0"/>
  </r>
  <r>
    <x v="33"/>
    <s v="IAM"/>
    <x v="1"/>
    <x v="3"/>
    <x v="1"/>
    <n v="2050"/>
    <x v="0"/>
  </r>
  <r>
    <x v="33"/>
    <s v="IAM"/>
    <x v="1"/>
    <x v="3"/>
    <x v="2"/>
    <n v="3822"/>
    <x v="0"/>
  </r>
  <r>
    <x v="33"/>
    <s v="IAM"/>
    <x v="1"/>
    <x v="3"/>
    <x v="3"/>
    <n v="3885"/>
    <x v="0"/>
  </r>
  <r>
    <x v="33"/>
    <s v="IAM"/>
    <x v="2"/>
    <x v="0"/>
    <x v="0"/>
    <n v="12288"/>
    <x v="0"/>
  </r>
  <r>
    <x v="33"/>
    <s v="IAM"/>
    <x v="2"/>
    <x v="0"/>
    <x v="1"/>
    <n v="12166"/>
    <x v="0"/>
  </r>
  <r>
    <x v="33"/>
    <s v="IAM"/>
    <x v="2"/>
    <x v="0"/>
    <x v="2"/>
    <n v="17166"/>
    <x v="0"/>
  </r>
  <r>
    <x v="33"/>
    <s v="IAM"/>
    <x v="2"/>
    <x v="0"/>
    <x v="3"/>
    <n v="16355"/>
    <x v="0"/>
  </r>
  <r>
    <x v="33"/>
    <s v="IAM"/>
    <x v="2"/>
    <x v="1"/>
    <x v="0"/>
    <n v="15419"/>
    <x v="0"/>
  </r>
  <r>
    <x v="33"/>
    <s v="IAM"/>
    <x v="2"/>
    <x v="1"/>
    <x v="1"/>
    <n v="15733"/>
    <x v="0"/>
  </r>
  <r>
    <x v="33"/>
    <s v="IAM"/>
    <x v="2"/>
    <x v="1"/>
    <x v="2"/>
    <n v="17410"/>
    <x v="0"/>
  </r>
  <r>
    <x v="33"/>
    <s v="IAM"/>
    <x v="2"/>
    <x v="1"/>
    <x v="3"/>
    <n v="16367"/>
    <x v="0"/>
  </r>
  <r>
    <x v="33"/>
    <s v="IAM"/>
    <x v="2"/>
    <x v="2"/>
    <x v="0"/>
    <n v="14909"/>
    <x v="0"/>
  </r>
  <r>
    <x v="33"/>
    <s v="IAM"/>
    <x v="2"/>
    <x v="2"/>
    <x v="1"/>
    <n v="14383"/>
    <x v="0"/>
  </r>
  <r>
    <x v="33"/>
    <s v="IAM"/>
    <x v="2"/>
    <x v="2"/>
    <x v="2"/>
    <n v="22999"/>
    <x v="0"/>
  </r>
  <r>
    <x v="33"/>
    <s v="IAM"/>
    <x v="2"/>
    <x v="2"/>
    <x v="3"/>
    <n v="22436"/>
    <x v="0"/>
  </r>
  <r>
    <x v="33"/>
    <s v="IAM"/>
    <x v="2"/>
    <x v="3"/>
    <x v="0"/>
    <n v="20914"/>
    <x v="0"/>
  </r>
  <r>
    <x v="33"/>
    <s v="IAM"/>
    <x v="2"/>
    <x v="3"/>
    <x v="1"/>
    <n v="17624"/>
    <x v="0"/>
  </r>
  <r>
    <x v="33"/>
    <s v="IAM"/>
    <x v="2"/>
    <x v="3"/>
    <x v="2"/>
    <n v="17986"/>
    <x v="0"/>
  </r>
  <r>
    <x v="33"/>
    <s v="IAM"/>
    <x v="2"/>
    <x v="3"/>
    <x v="3"/>
    <n v="17610"/>
    <x v="0"/>
  </r>
  <r>
    <x v="34"/>
    <s v="ADI"/>
    <x v="0"/>
    <x v="0"/>
    <x v="0"/>
    <n v="471"/>
    <x v="0"/>
  </r>
  <r>
    <x v="34"/>
    <s v="ADI"/>
    <x v="0"/>
    <x v="0"/>
    <x v="1"/>
    <n v="335"/>
    <x v="0"/>
  </r>
  <r>
    <x v="34"/>
    <s v="ADI"/>
    <x v="0"/>
    <x v="0"/>
    <x v="2"/>
    <n v="405"/>
    <x v="0"/>
  </r>
  <r>
    <x v="34"/>
    <s v="ADI"/>
    <x v="0"/>
    <x v="0"/>
    <x v="3"/>
    <n v="373"/>
    <x v="0"/>
  </r>
  <r>
    <x v="34"/>
    <s v="ADI"/>
    <x v="0"/>
    <x v="1"/>
    <x v="0"/>
    <n v="523"/>
    <x v="0"/>
  </r>
  <r>
    <x v="34"/>
    <s v="ADI"/>
    <x v="0"/>
    <x v="1"/>
    <x v="1"/>
    <n v="480"/>
    <x v="0"/>
  </r>
  <r>
    <x v="34"/>
    <s v="ADI"/>
    <x v="0"/>
    <x v="1"/>
    <x v="2"/>
    <n v="502"/>
    <x v="0"/>
  </r>
  <r>
    <x v="34"/>
    <s v="ADI"/>
    <x v="0"/>
    <x v="1"/>
    <x v="3"/>
    <n v="513"/>
    <x v="0"/>
  </r>
  <r>
    <x v="34"/>
    <s v="ADI"/>
    <x v="0"/>
    <x v="2"/>
    <x v="0"/>
    <n v="650"/>
    <x v="0"/>
  </r>
  <r>
    <x v="34"/>
    <s v="ADI"/>
    <x v="0"/>
    <x v="2"/>
    <x v="1"/>
    <n v="559"/>
    <x v="0"/>
  </r>
  <r>
    <x v="34"/>
    <s v="ADI"/>
    <x v="0"/>
    <x v="2"/>
    <x v="2"/>
    <n v="603"/>
    <x v="0"/>
  </r>
  <r>
    <x v="34"/>
    <s v="ADI"/>
    <x v="0"/>
    <x v="2"/>
    <x v="3"/>
    <n v="552"/>
    <x v="0"/>
  </r>
  <r>
    <x v="34"/>
    <s v="ADI"/>
    <x v="0"/>
    <x v="3"/>
    <x v="0"/>
    <n v="715"/>
    <x v="0"/>
  </r>
  <r>
    <x v="34"/>
    <s v="ADI"/>
    <x v="0"/>
    <x v="3"/>
    <x v="1"/>
    <n v="618"/>
    <x v="0"/>
  </r>
  <r>
    <x v="34"/>
    <s v="ADI"/>
    <x v="0"/>
    <x v="3"/>
    <x v="2"/>
    <n v="641"/>
    <x v="0"/>
  </r>
  <r>
    <x v="34"/>
    <s v="ADI"/>
    <x v="0"/>
    <x v="3"/>
    <x v="3"/>
    <n v="458"/>
    <x v="0"/>
  </r>
  <r>
    <x v="34"/>
    <s v="ADI"/>
    <x v="2"/>
    <x v="0"/>
    <x v="0"/>
    <n v="2238"/>
    <x v="0"/>
  </r>
  <r>
    <x v="34"/>
    <s v="ADI"/>
    <x v="2"/>
    <x v="0"/>
    <x v="1"/>
    <n v="2268"/>
    <x v="0"/>
  </r>
  <r>
    <x v="34"/>
    <s v="ADI"/>
    <x v="2"/>
    <x v="0"/>
    <x v="2"/>
    <n v="2144"/>
    <x v="0"/>
  </r>
  <r>
    <x v="34"/>
    <s v="ADI"/>
    <x v="2"/>
    <x v="0"/>
    <x v="3"/>
    <n v="2128"/>
    <x v="0"/>
  </r>
  <r>
    <x v="34"/>
    <s v="ADI"/>
    <x v="2"/>
    <x v="1"/>
    <x v="0"/>
    <n v="2157"/>
    <x v="0"/>
  </r>
  <r>
    <x v="34"/>
    <s v="ADI"/>
    <x v="2"/>
    <x v="1"/>
    <x v="1"/>
    <n v="2183"/>
    <x v="0"/>
  </r>
  <r>
    <x v="34"/>
    <s v="ADI"/>
    <x v="2"/>
    <x v="1"/>
    <x v="2"/>
    <n v="2062"/>
    <x v="0"/>
  </r>
  <r>
    <x v="34"/>
    <s v="ADI"/>
    <x v="2"/>
    <x v="1"/>
    <x v="3"/>
    <n v="1713"/>
    <x v="0"/>
  </r>
  <r>
    <x v="34"/>
    <s v="ADI"/>
    <x v="2"/>
    <x v="2"/>
    <x v="0"/>
    <n v="1655"/>
    <x v="0"/>
  </r>
  <r>
    <x v="34"/>
    <s v="ADI"/>
    <x v="2"/>
    <x v="2"/>
    <x v="1"/>
    <n v="1376"/>
    <x v="0"/>
  </r>
  <r>
    <x v="34"/>
    <s v="ADI"/>
    <x v="2"/>
    <x v="2"/>
    <x v="2"/>
    <n v="1490"/>
    <x v="0"/>
  </r>
  <r>
    <x v="34"/>
    <s v="ADI"/>
    <x v="2"/>
    <x v="2"/>
    <x v="3"/>
    <n v="1137"/>
    <x v="0"/>
  </r>
  <r>
    <x v="34"/>
    <s v="ADI"/>
    <x v="2"/>
    <x v="3"/>
    <x v="0"/>
    <n v="1782"/>
    <x v="0"/>
  </r>
  <r>
    <x v="34"/>
    <s v="ADI"/>
    <x v="2"/>
    <x v="3"/>
    <x v="1"/>
    <n v="939"/>
    <x v="0"/>
  </r>
  <r>
    <x v="34"/>
    <s v="ADI"/>
    <x v="2"/>
    <x v="3"/>
    <x v="2"/>
    <n v="1019"/>
    <x v="0"/>
  </r>
  <r>
    <x v="34"/>
    <s v="ADI"/>
    <x v="2"/>
    <x v="3"/>
    <x v="3"/>
    <n v="1303"/>
    <x v="0"/>
  </r>
  <r>
    <x v="35"/>
    <s v="ADH"/>
    <x v="0"/>
    <x v="0"/>
    <x v="0"/>
    <n v="509"/>
    <x v="0"/>
  </r>
  <r>
    <x v="35"/>
    <s v="ADH"/>
    <x v="0"/>
    <x v="0"/>
    <x v="1"/>
    <n v="301"/>
    <x v="0"/>
  </r>
  <r>
    <x v="35"/>
    <s v="ADH"/>
    <x v="0"/>
    <x v="0"/>
    <x v="2"/>
    <n v="327"/>
    <x v="0"/>
  </r>
  <r>
    <x v="35"/>
    <s v="ADH"/>
    <x v="0"/>
    <x v="0"/>
    <x v="3"/>
    <n v="257"/>
    <x v="0"/>
  </r>
  <r>
    <x v="35"/>
    <s v="ADH"/>
    <x v="0"/>
    <x v="1"/>
    <x v="0"/>
    <n v="572"/>
    <x v="0"/>
  </r>
  <r>
    <x v="35"/>
    <s v="ADH"/>
    <x v="0"/>
    <x v="1"/>
    <x v="1"/>
    <n v="833"/>
    <x v="0"/>
  </r>
  <r>
    <x v="35"/>
    <s v="ADH"/>
    <x v="0"/>
    <x v="1"/>
    <x v="2"/>
    <n v="346"/>
    <x v="0"/>
  </r>
  <r>
    <x v="35"/>
    <s v="ADH"/>
    <x v="0"/>
    <x v="1"/>
    <x v="3"/>
    <n v="348"/>
    <x v="0"/>
  </r>
  <r>
    <x v="35"/>
    <s v="ADH"/>
    <x v="0"/>
    <x v="2"/>
    <x v="0"/>
    <n v="689"/>
    <x v="0"/>
  </r>
  <r>
    <x v="35"/>
    <s v="ADH"/>
    <x v="0"/>
    <x v="2"/>
    <x v="1"/>
    <n v="998"/>
    <x v="0"/>
  </r>
  <r>
    <x v="35"/>
    <s v="ADH"/>
    <x v="0"/>
    <x v="2"/>
    <x v="2"/>
    <n v="249"/>
    <x v="0"/>
  </r>
  <r>
    <x v="35"/>
    <s v="ADH"/>
    <x v="0"/>
    <x v="2"/>
    <x v="3"/>
    <n v="653"/>
    <x v="0"/>
  </r>
  <r>
    <x v="35"/>
    <s v="ADH"/>
    <x v="0"/>
    <x v="3"/>
    <x v="0"/>
    <n v="722"/>
    <x v="0"/>
  </r>
  <r>
    <x v="35"/>
    <s v="ADH"/>
    <x v="0"/>
    <x v="3"/>
    <x v="1"/>
    <n v="575"/>
    <x v="0"/>
  </r>
  <r>
    <x v="35"/>
    <s v="ADH"/>
    <x v="0"/>
    <x v="3"/>
    <x v="2"/>
    <n v="353"/>
    <x v="0"/>
  </r>
  <r>
    <x v="35"/>
    <s v="ADH"/>
    <x v="0"/>
    <x v="3"/>
    <x v="3"/>
    <n v="1059"/>
    <x v="0"/>
  </r>
  <r>
    <x v="35"/>
    <s v="ADH"/>
    <x v="2"/>
    <x v="0"/>
    <x v="0"/>
    <n v="4340"/>
    <x v="0"/>
  </r>
  <r>
    <x v="35"/>
    <s v="ADH"/>
    <x v="2"/>
    <x v="0"/>
    <x v="1"/>
    <n v="4500"/>
    <x v="0"/>
  </r>
  <r>
    <x v="35"/>
    <s v="ADH"/>
    <x v="2"/>
    <x v="0"/>
    <x v="2"/>
    <n v="4600"/>
    <x v="0"/>
  </r>
  <r>
    <x v="35"/>
    <s v="ADH"/>
    <x v="2"/>
    <x v="0"/>
    <x v="3"/>
    <n v="4600"/>
    <x v="0"/>
  </r>
  <r>
    <x v="35"/>
    <s v="ADH"/>
    <x v="2"/>
    <x v="1"/>
    <x v="0"/>
    <n v="4600"/>
    <x v="0"/>
  </r>
  <r>
    <x v="35"/>
    <s v="ADH"/>
    <x v="2"/>
    <x v="1"/>
    <x v="1"/>
    <n v="4700"/>
    <x v="0"/>
  </r>
  <r>
    <x v="35"/>
    <s v="ADH"/>
    <x v="2"/>
    <x v="1"/>
    <x v="2"/>
    <n v="4700"/>
    <x v="0"/>
  </r>
  <r>
    <x v="35"/>
    <s v="ADH"/>
    <x v="2"/>
    <x v="1"/>
    <x v="3"/>
    <n v="4300"/>
    <x v="0"/>
  </r>
  <r>
    <x v="35"/>
    <s v="ADH"/>
    <x v="2"/>
    <x v="2"/>
    <x v="0"/>
    <n v="4200"/>
    <x v="0"/>
  </r>
  <r>
    <x v="35"/>
    <s v="ADH"/>
    <x v="2"/>
    <x v="2"/>
    <x v="1"/>
    <n v="4300"/>
    <x v="0"/>
  </r>
  <r>
    <x v="35"/>
    <s v="ADH"/>
    <x v="2"/>
    <x v="2"/>
    <x v="2"/>
    <n v="4200"/>
    <x v="0"/>
  </r>
  <r>
    <x v="35"/>
    <s v="ADH"/>
    <x v="2"/>
    <x v="2"/>
    <x v="3"/>
    <n v="4100"/>
    <x v="0"/>
  </r>
  <r>
    <x v="35"/>
    <s v="ADH"/>
    <x v="2"/>
    <x v="3"/>
    <x v="0"/>
    <n v="3900"/>
    <x v="0"/>
  </r>
  <r>
    <x v="35"/>
    <s v="ADH"/>
    <x v="2"/>
    <x v="3"/>
    <x v="1"/>
    <n v="4100"/>
    <x v="0"/>
  </r>
  <r>
    <x v="35"/>
    <s v="ADH"/>
    <x v="2"/>
    <x v="3"/>
    <x v="2"/>
    <n v="4100"/>
    <x v="0"/>
  </r>
  <r>
    <x v="36"/>
    <s v="RDS"/>
    <x v="0"/>
    <x v="0"/>
    <x v="0"/>
    <n v="45"/>
    <x v="0"/>
  </r>
  <r>
    <x v="36"/>
    <s v="RDS"/>
    <x v="0"/>
    <x v="0"/>
    <x v="1"/>
    <n v="242"/>
    <x v="0"/>
  </r>
  <r>
    <x v="36"/>
    <s v="RDS"/>
    <x v="0"/>
    <x v="0"/>
    <x v="2"/>
    <n v="107"/>
    <x v="0"/>
  </r>
  <r>
    <x v="36"/>
    <s v="RDS"/>
    <x v="0"/>
    <x v="0"/>
    <x v="3"/>
    <n v="142"/>
    <x v="0"/>
  </r>
  <r>
    <x v="36"/>
    <s v="RDS"/>
    <x v="0"/>
    <x v="1"/>
    <x v="0"/>
    <n v="51"/>
    <x v="0"/>
  </r>
  <r>
    <x v="36"/>
    <s v="RDS"/>
    <x v="0"/>
    <x v="1"/>
    <x v="1"/>
    <n v="202"/>
    <x v="0"/>
  </r>
  <r>
    <x v="36"/>
    <s v="RDS"/>
    <x v="0"/>
    <x v="1"/>
    <x v="2"/>
    <n v="117"/>
    <x v="0"/>
  </r>
  <r>
    <x v="36"/>
    <s v="RDS"/>
    <x v="0"/>
    <x v="1"/>
    <x v="3"/>
    <n v="50"/>
    <x v="0"/>
  </r>
  <r>
    <x v="36"/>
    <s v="RDS"/>
    <x v="0"/>
    <x v="2"/>
    <x v="0"/>
    <n v="54"/>
    <x v="0"/>
  </r>
  <r>
    <x v="36"/>
    <s v="RDS"/>
    <x v="0"/>
    <x v="2"/>
    <x v="1"/>
    <n v="38"/>
    <x v="0"/>
  </r>
  <r>
    <x v="36"/>
    <s v="RDS"/>
    <x v="0"/>
    <x v="2"/>
    <x v="2"/>
    <n v="32"/>
    <x v="0"/>
  </r>
  <r>
    <x v="36"/>
    <s v="RDS"/>
    <x v="0"/>
    <x v="2"/>
    <x v="3"/>
    <n v="12"/>
    <x v="0"/>
  </r>
  <r>
    <x v="36"/>
    <s v="RDS"/>
    <x v="0"/>
    <x v="3"/>
    <x v="0"/>
    <n v="64"/>
    <x v="0"/>
  </r>
  <r>
    <x v="36"/>
    <s v="RDS"/>
    <x v="0"/>
    <x v="3"/>
    <x v="1"/>
    <n v="106"/>
    <x v="0"/>
  </r>
  <r>
    <x v="36"/>
    <s v="RDS"/>
    <x v="0"/>
    <x v="3"/>
    <x v="2"/>
    <n v="113"/>
    <x v="0"/>
  </r>
  <r>
    <x v="36"/>
    <s v="RDS"/>
    <x v="0"/>
    <x v="3"/>
    <x v="3"/>
    <n v="191"/>
    <x v="0"/>
  </r>
  <r>
    <x v="36"/>
    <s v="RDS"/>
    <x v="2"/>
    <x v="0"/>
    <x v="0"/>
    <n v="2459"/>
    <x v="0"/>
  </r>
  <r>
    <x v="36"/>
    <s v="RDS"/>
    <x v="2"/>
    <x v="0"/>
    <x v="1"/>
    <n v="2397"/>
    <x v="0"/>
  </r>
  <r>
    <x v="36"/>
    <s v="RDS"/>
    <x v="2"/>
    <x v="0"/>
    <x v="2"/>
    <n v="2372"/>
    <x v="0"/>
  </r>
  <r>
    <x v="36"/>
    <s v="RDS"/>
    <x v="2"/>
    <x v="0"/>
    <x v="3"/>
    <n v="2327"/>
    <x v="0"/>
  </r>
  <r>
    <x v="36"/>
    <s v="RDS"/>
    <x v="2"/>
    <x v="1"/>
    <x v="0"/>
    <n v="1803"/>
    <x v="0"/>
  </r>
  <r>
    <x v="36"/>
    <s v="RDS"/>
    <x v="2"/>
    <x v="1"/>
    <x v="1"/>
    <n v="1729"/>
    <x v="0"/>
  </r>
  <r>
    <x v="36"/>
    <s v="RDS"/>
    <x v="2"/>
    <x v="1"/>
    <x v="2"/>
    <n v="1708"/>
    <x v="0"/>
  </r>
  <r>
    <x v="36"/>
    <s v="RDS"/>
    <x v="2"/>
    <x v="1"/>
    <x v="3"/>
    <n v="1733"/>
    <x v="0"/>
  </r>
  <r>
    <x v="36"/>
    <s v="RDS"/>
    <x v="2"/>
    <x v="2"/>
    <x v="0"/>
    <n v="1697"/>
    <x v="0"/>
  </r>
  <r>
    <x v="36"/>
    <s v="RDS"/>
    <x v="2"/>
    <x v="2"/>
    <x v="1"/>
    <n v="1781"/>
    <x v="0"/>
  </r>
  <r>
    <x v="36"/>
    <s v="RDS"/>
    <x v="2"/>
    <x v="2"/>
    <x v="2"/>
    <n v="1728"/>
    <x v="0"/>
  </r>
  <r>
    <x v="36"/>
    <s v="RDS"/>
    <x v="2"/>
    <x v="2"/>
    <x v="3"/>
    <n v="1710"/>
    <x v="0"/>
  </r>
  <r>
    <x v="36"/>
    <s v="RDS"/>
    <x v="2"/>
    <x v="3"/>
    <x v="0"/>
    <n v="1696"/>
    <x v="0"/>
  </r>
  <r>
    <x v="36"/>
    <s v="RDS"/>
    <x v="2"/>
    <x v="3"/>
    <x v="1"/>
    <n v="1635"/>
    <x v="0"/>
  </r>
  <r>
    <x v="36"/>
    <s v="RDS"/>
    <x v="2"/>
    <x v="3"/>
    <x v="2"/>
    <n v="1594"/>
    <x v="0"/>
  </r>
  <r>
    <x v="36"/>
    <s v="RDS"/>
    <x v="2"/>
    <x v="3"/>
    <x v="3"/>
    <n v="1775"/>
    <x v="0"/>
  </r>
  <r>
    <x v="37"/>
    <s v="AKT"/>
    <x v="0"/>
    <x v="0"/>
    <x v="0"/>
    <n v="210"/>
    <x v="0"/>
  </r>
  <r>
    <x v="37"/>
    <s v="AKT"/>
    <x v="0"/>
    <x v="0"/>
    <x v="1"/>
    <n v="241"/>
    <x v="0"/>
  </r>
  <r>
    <x v="37"/>
    <s v="AKT"/>
    <x v="0"/>
    <x v="0"/>
    <x v="2"/>
    <n v="265"/>
    <x v="0"/>
  </r>
  <r>
    <x v="37"/>
    <s v="AKT"/>
    <x v="0"/>
    <x v="0"/>
    <x v="3"/>
    <n v="318"/>
    <x v="0"/>
  </r>
  <r>
    <x v="37"/>
    <s v="AKT"/>
    <x v="0"/>
    <x v="1"/>
    <x v="0"/>
    <n v="380"/>
    <x v="0"/>
  </r>
  <r>
    <x v="37"/>
    <s v="AKT"/>
    <x v="0"/>
    <x v="1"/>
    <x v="1"/>
    <n v="443"/>
    <x v="0"/>
  </r>
  <r>
    <x v="37"/>
    <s v="AKT"/>
    <x v="0"/>
    <x v="1"/>
    <x v="2"/>
    <n v="507"/>
    <x v="0"/>
  </r>
  <r>
    <x v="37"/>
    <s v="AKT"/>
    <x v="0"/>
    <x v="1"/>
    <x v="3"/>
    <n v="582"/>
    <x v="0"/>
  </r>
  <r>
    <x v="37"/>
    <s v="AKT"/>
    <x v="0"/>
    <x v="2"/>
    <x v="0"/>
    <n v="611"/>
    <x v="0"/>
  </r>
  <r>
    <x v="37"/>
    <s v="AKT"/>
    <x v="0"/>
    <x v="2"/>
    <x v="1"/>
    <n v="637"/>
    <x v="0"/>
  </r>
  <r>
    <x v="37"/>
    <s v="AKT"/>
    <x v="0"/>
    <x v="2"/>
    <x v="2"/>
    <n v="768"/>
    <x v="0"/>
  </r>
  <r>
    <x v="37"/>
    <s v="AKT"/>
    <x v="0"/>
    <x v="2"/>
    <x v="3"/>
    <n v="936"/>
    <x v="0"/>
  </r>
  <r>
    <x v="37"/>
    <s v="AKT"/>
    <x v="0"/>
    <x v="3"/>
    <x v="0"/>
    <n v="940"/>
    <x v="0"/>
  </r>
  <r>
    <x v="37"/>
    <s v="AKT"/>
    <x v="0"/>
    <x v="3"/>
    <x v="1"/>
    <n v="1150"/>
    <x v="0"/>
  </r>
  <r>
    <x v="37"/>
    <s v="AKT"/>
    <x v="0"/>
    <x v="3"/>
    <x v="2"/>
    <n v="1030"/>
    <x v="0"/>
  </r>
  <r>
    <x v="37"/>
    <s v="AKT"/>
    <x v="0"/>
    <x v="3"/>
    <x v="3"/>
    <n v="1289"/>
    <x v="0"/>
  </r>
  <r>
    <x v="37"/>
    <s v="AKT"/>
    <x v="1"/>
    <x v="0"/>
    <x v="0"/>
    <n v="22"/>
    <x v="0"/>
  </r>
  <r>
    <x v="37"/>
    <s v="AKT"/>
    <x v="1"/>
    <x v="0"/>
    <x v="1"/>
    <n v="106"/>
    <x v="0"/>
  </r>
  <r>
    <x v="37"/>
    <s v="AKT"/>
    <x v="1"/>
    <x v="0"/>
    <x v="2"/>
    <n v="173"/>
    <x v="0"/>
  </r>
  <r>
    <x v="37"/>
    <s v="AKT"/>
    <x v="1"/>
    <x v="0"/>
    <x v="3"/>
    <n v="807"/>
    <x v="0"/>
  </r>
  <r>
    <x v="37"/>
    <s v="AKT"/>
    <x v="1"/>
    <x v="1"/>
    <x v="0"/>
    <n v="247"/>
    <x v="0"/>
  </r>
  <r>
    <x v="37"/>
    <s v="AKT"/>
    <x v="1"/>
    <x v="1"/>
    <x v="1"/>
    <n v="340"/>
    <x v="0"/>
  </r>
  <r>
    <x v="37"/>
    <s v="AKT"/>
    <x v="1"/>
    <x v="1"/>
    <x v="2"/>
    <n v="178"/>
    <x v="0"/>
  </r>
  <r>
    <x v="37"/>
    <s v="AKT"/>
    <x v="1"/>
    <x v="1"/>
    <x v="3"/>
    <n v="296"/>
    <x v="0"/>
  </r>
  <r>
    <x v="37"/>
    <s v="AKT"/>
    <x v="1"/>
    <x v="2"/>
    <x v="0"/>
    <n v="184"/>
    <x v="0"/>
  </r>
  <r>
    <x v="37"/>
    <s v="AKT"/>
    <x v="1"/>
    <x v="2"/>
    <x v="1"/>
    <n v="384"/>
    <x v="0"/>
  </r>
  <r>
    <x v="37"/>
    <s v="AKT"/>
    <x v="1"/>
    <x v="2"/>
    <x v="2"/>
    <n v="147"/>
    <x v="0"/>
  </r>
  <r>
    <x v="37"/>
    <s v="AKT"/>
    <x v="1"/>
    <x v="2"/>
    <x v="3"/>
    <n v="974"/>
    <x v="0"/>
  </r>
  <r>
    <x v="37"/>
    <s v="AKT"/>
    <x v="1"/>
    <x v="3"/>
    <x v="0"/>
    <n v="135"/>
    <x v="0"/>
  </r>
  <r>
    <x v="37"/>
    <s v="AKT"/>
    <x v="1"/>
    <x v="3"/>
    <x v="1"/>
    <n v="790"/>
    <x v="0"/>
  </r>
  <r>
    <x v="37"/>
    <s v="AKT"/>
    <x v="1"/>
    <x v="3"/>
    <x v="2"/>
    <n v="59"/>
    <x v="0"/>
  </r>
  <r>
    <x v="37"/>
    <s v="AKT"/>
    <x v="1"/>
    <x v="3"/>
    <x v="3"/>
    <n v="1071"/>
    <x v="0"/>
  </r>
  <r>
    <x v="37"/>
    <s v="AKT"/>
    <x v="2"/>
    <x v="1"/>
    <x v="0"/>
    <n v="672"/>
    <x v="0"/>
  </r>
  <r>
    <x v="37"/>
    <s v="AKT"/>
    <x v="2"/>
    <x v="1"/>
    <x v="1"/>
    <n v="872"/>
    <x v="0"/>
  </r>
  <r>
    <x v="37"/>
    <s v="AKT"/>
    <x v="2"/>
    <x v="1"/>
    <x v="2"/>
    <n v="939"/>
    <x v="0"/>
  </r>
  <r>
    <x v="37"/>
    <s v="AKT"/>
    <x v="2"/>
    <x v="1"/>
    <x v="3"/>
    <n v="1150"/>
    <x v="0"/>
  </r>
  <r>
    <x v="37"/>
    <s v="AKT"/>
    <x v="2"/>
    <x v="2"/>
    <x v="0"/>
    <n v="1222"/>
    <x v="0"/>
  </r>
  <r>
    <x v="37"/>
    <s v="AKT"/>
    <x v="2"/>
    <x v="2"/>
    <x v="1"/>
    <n v="1818"/>
    <x v="0"/>
  </r>
  <r>
    <x v="37"/>
    <s v="AKT"/>
    <x v="2"/>
    <x v="2"/>
    <x v="2"/>
    <n v="1408"/>
    <x v="0"/>
  </r>
  <r>
    <x v="37"/>
    <s v="AKT"/>
    <x v="2"/>
    <x v="2"/>
    <x v="3"/>
    <n v="1872"/>
    <x v="0"/>
  </r>
  <r>
    <x v="37"/>
    <s v="AKT"/>
    <x v="2"/>
    <x v="3"/>
    <x v="0"/>
    <n v="2014"/>
    <x v="0"/>
  </r>
  <r>
    <x v="37"/>
    <s v="AKT"/>
    <x v="2"/>
    <x v="3"/>
    <x v="1"/>
    <n v="2827"/>
    <x v="0"/>
  </r>
  <r>
    <x v="37"/>
    <s v="AKT"/>
    <x v="2"/>
    <x v="3"/>
    <x v="2"/>
    <n v="3438"/>
    <x v="0"/>
  </r>
  <r>
    <x v="37"/>
    <s v="AKT"/>
    <x v="2"/>
    <x v="3"/>
    <x v="3"/>
    <n v="4246"/>
    <x v="0"/>
  </r>
  <r>
    <x v="38"/>
    <s v="VCN"/>
    <x v="0"/>
    <x v="2"/>
    <x v="0"/>
    <n v="165"/>
    <x v="0"/>
  </r>
  <r>
    <x v="38"/>
    <s v="VCN"/>
    <x v="0"/>
    <x v="2"/>
    <x v="1"/>
    <n v="201"/>
    <x v="0"/>
  </r>
  <r>
    <x v="38"/>
    <s v="VCN"/>
    <x v="0"/>
    <x v="2"/>
    <x v="2"/>
    <n v="189"/>
    <x v="0"/>
  </r>
  <r>
    <x v="38"/>
    <s v="VCN"/>
    <x v="0"/>
    <x v="2"/>
    <x v="3"/>
    <n v="280"/>
    <x v="0"/>
  </r>
  <r>
    <x v="38"/>
    <s v="VCN"/>
    <x v="0"/>
    <x v="3"/>
    <x v="0"/>
    <n v="222"/>
    <x v="0"/>
  </r>
  <r>
    <x v="38"/>
    <s v="VCN"/>
    <x v="0"/>
    <x v="3"/>
    <x v="1"/>
    <n v="305"/>
    <x v="0"/>
  </r>
  <r>
    <x v="38"/>
    <s v="VCN"/>
    <x v="0"/>
    <x v="3"/>
    <x v="2"/>
    <n v="169"/>
    <x v="0"/>
  </r>
  <r>
    <x v="38"/>
    <s v="VCN"/>
    <x v="0"/>
    <x v="3"/>
    <x v="3"/>
    <n v="389"/>
    <x v="0"/>
  </r>
  <r>
    <x v="38"/>
    <s v="VCN"/>
    <x v="1"/>
    <x v="2"/>
    <x v="0"/>
    <n v="1"/>
    <x v="0"/>
  </r>
  <r>
    <x v="38"/>
    <s v="VCN"/>
    <x v="1"/>
    <x v="2"/>
    <x v="1"/>
    <n v="0"/>
    <x v="0"/>
  </r>
  <r>
    <x v="38"/>
    <s v="VCN"/>
    <x v="1"/>
    <x v="2"/>
    <x v="2"/>
    <n v="1"/>
    <x v="0"/>
  </r>
  <r>
    <x v="38"/>
    <s v="VCN"/>
    <x v="1"/>
    <x v="2"/>
    <x v="3"/>
    <n v="2"/>
    <x v="0"/>
  </r>
  <r>
    <x v="38"/>
    <s v="VCN"/>
    <x v="1"/>
    <x v="3"/>
    <x v="0"/>
    <n v="2"/>
    <x v="0"/>
  </r>
  <r>
    <x v="38"/>
    <s v="VCN"/>
    <x v="1"/>
    <x v="3"/>
    <x v="1"/>
    <n v="2"/>
    <x v="0"/>
  </r>
  <r>
    <x v="38"/>
    <s v="VCN"/>
    <x v="1"/>
    <x v="3"/>
    <x v="2"/>
    <n v="12"/>
    <x v="0"/>
  </r>
  <r>
    <x v="38"/>
    <s v="VCN"/>
    <x v="1"/>
    <x v="3"/>
    <x v="3"/>
    <n v="15"/>
    <x v="0"/>
  </r>
  <r>
    <x v="38"/>
    <s v="VCN"/>
    <x v="2"/>
    <x v="2"/>
    <x v="1"/>
    <n v="272"/>
    <x v="0"/>
  </r>
  <r>
    <x v="38"/>
    <s v="VCN"/>
    <x v="2"/>
    <x v="2"/>
    <x v="2"/>
    <n v="294"/>
    <x v="0"/>
  </r>
  <r>
    <x v="38"/>
    <s v="VCN"/>
    <x v="2"/>
    <x v="2"/>
    <x v="3"/>
    <n v="299"/>
    <x v="0"/>
  </r>
  <r>
    <x v="38"/>
    <s v="VCN"/>
    <x v="2"/>
    <x v="3"/>
    <x v="1"/>
    <n v="275"/>
    <x v="0"/>
  </r>
  <r>
    <x v="38"/>
    <s v="VCN"/>
    <x v="2"/>
    <x v="3"/>
    <x v="2"/>
    <n v="-279"/>
    <x v="0"/>
  </r>
  <r>
    <x v="38"/>
    <s v="VCN"/>
    <x v="2"/>
    <x v="3"/>
    <x v="3"/>
    <n v="-315"/>
    <x v="0"/>
  </r>
  <r>
    <x v="39"/>
    <s v="SOT"/>
    <x v="0"/>
    <x v="0"/>
    <x v="0"/>
    <n v="581"/>
    <x v="0"/>
  </r>
  <r>
    <x v="39"/>
    <s v="SOT"/>
    <x v="0"/>
    <x v="0"/>
    <x v="1"/>
    <n v="581"/>
    <x v="0"/>
  </r>
  <r>
    <x v="39"/>
    <s v="SOT"/>
    <x v="0"/>
    <x v="0"/>
    <x v="2"/>
    <n v="511"/>
    <x v="0"/>
  </r>
  <r>
    <x v="39"/>
    <s v="SOT"/>
    <x v="0"/>
    <x v="0"/>
    <x v="3"/>
    <n v="599"/>
    <x v="0"/>
  </r>
  <r>
    <x v="39"/>
    <s v="SOT"/>
    <x v="0"/>
    <x v="1"/>
    <x v="0"/>
    <n v="597"/>
    <x v="0"/>
  </r>
  <r>
    <x v="39"/>
    <s v="SOT"/>
    <x v="0"/>
    <x v="1"/>
    <x v="1"/>
    <n v="612"/>
    <x v="0"/>
  </r>
  <r>
    <x v="39"/>
    <s v="SOT"/>
    <x v="0"/>
    <x v="1"/>
    <x v="2"/>
    <n v="573"/>
    <x v="0"/>
  </r>
  <r>
    <x v="39"/>
    <s v="SOT"/>
    <x v="0"/>
    <x v="1"/>
    <x v="3"/>
    <n v="673"/>
    <x v="0"/>
  </r>
  <r>
    <x v="39"/>
    <s v="SOT"/>
    <x v="0"/>
    <x v="2"/>
    <x v="0"/>
    <n v="656"/>
    <x v="0"/>
  </r>
  <r>
    <x v="39"/>
    <s v="SOT"/>
    <x v="0"/>
    <x v="2"/>
    <x v="1"/>
    <n v="672"/>
    <x v="0"/>
  </r>
  <r>
    <x v="39"/>
    <s v="SOT"/>
    <x v="0"/>
    <x v="2"/>
    <x v="2"/>
    <n v="2039"/>
    <x v="0"/>
  </r>
  <r>
    <x v="39"/>
    <s v="SOT"/>
    <x v="0"/>
    <x v="2"/>
    <x v="3"/>
    <n v="777"/>
    <x v="0"/>
  </r>
  <r>
    <x v="39"/>
    <s v="SOT"/>
    <x v="0"/>
    <x v="3"/>
    <x v="0"/>
    <n v="782"/>
    <x v="0"/>
  </r>
  <r>
    <x v="39"/>
    <s v="SOT"/>
    <x v="0"/>
    <x v="3"/>
    <x v="1"/>
    <n v="767"/>
    <x v="0"/>
  </r>
  <r>
    <x v="39"/>
    <s v="SOT"/>
    <x v="0"/>
    <x v="3"/>
    <x v="2"/>
    <n v="757"/>
    <x v="0"/>
  </r>
  <r>
    <x v="39"/>
    <s v="SOT"/>
    <x v="0"/>
    <x v="3"/>
    <x v="3"/>
    <n v="921"/>
    <x v="0"/>
  </r>
  <r>
    <x v="39"/>
    <s v="SOT"/>
    <x v="1"/>
    <x v="0"/>
    <x v="0"/>
    <n v="3"/>
    <x v="0"/>
  </r>
  <r>
    <x v="39"/>
    <s v="SOT"/>
    <x v="1"/>
    <x v="0"/>
    <x v="1"/>
    <n v="14"/>
    <x v="0"/>
  </r>
  <r>
    <x v="39"/>
    <s v="SOT"/>
    <x v="1"/>
    <x v="0"/>
    <x v="2"/>
    <n v="16"/>
    <x v="0"/>
  </r>
  <r>
    <x v="39"/>
    <s v="SOT"/>
    <x v="1"/>
    <x v="0"/>
    <x v="3"/>
    <n v="22"/>
    <x v="0"/>
  </r>
  <r>
    <x v="39"/>
    <s v="SOT"/>
    <x v="1"/>
    <x v="1"/>
    <x v="0"/>
    <n v="11"/>
    <x v="0"/>
  </r>
  <r>
    <x v="39"/>
    <s v="SOT"/>
    <x v="1"/>
    <x v="1"/>
    <x v="1"/>
    <n v="11"/>
    <x v="0"/>
  </r>
  <r>
    <x v="39"/>
    <s v="SOT"/>
    <x v="1"/>
    <x v="1"/>
    <x v="2"/>
    <n v="13"/>
    <x v="0"/>
  </r>
  <r>
    <x v="39"/>
    <s v="SOT"/>
    <x v="1"/>
    <x v="1"/>
    <x v="3"/>
    <n v="65"/>
    <x v="0"/>
  </r>
  <r>
    <x v="39"/>
    <s v="SOT"/>
    <x v="1"/>
    <x v="2"/>
    <x v="0"/>
    <n v="13"/>
    <x v="0"/>
  </r>
  <r>
    <x v="39"/>
    <s v="SOT"/>
    <x v="1"/>
    <x v="2"/>
    <x v="1"/>
    <n v="10"/>
    <x v="0"/>
  </r>
  <r>
    <x v="39"/>
    <s v="SOT"/>
    <x v="1"/>
    <x v="2"/>
    <x v="2"/>
    <n v="11"/>
    <x v="0"/>
  </r>
  <r>
    <x v="39"/>
    <s v="SOT"/>
    <x v="1"/>
    <x v="2"/>
    <x v="3"/>
    <n v="40"/>
    <x v="0"/>
  </r>
  <r>
    <x v="39"/>
    <s v="SOT"/>
    <x v="1"/>
    <x v="3"/>
    <x v="0"/>
    <n v="9"/>
    <x v="0"/>
  </r>
  <r>
    <x v="39"/>
    <s v="SOT"/>
    <x v="1"/>
    <x v="3"/>
    <x v="1"/>
    <n v="19"/>
    <x v="0"/>
  </r>
  <r>
    <x v="39"/>
    <s v="SOT"/>
    <x v="1"/>
    <x v="3"/>
    <x v="2"/>
    <n v="21"/>
    <x v="0"/>
  </r>
  <r>
    <x v="39"/>
    <s v="SOT"/>
    <x v="1"/>
    <x v="3"/>
    <x v="3"/>
    <n v="36"/>
    <x v="0"/>
  </r>
  <r>
    <x v="39"/>
    <s v="SOT"/>
    <x v="2"/>
    <x v="0"/>
    <x v="0"/>
    <n v="98"/>
    <x v="0"/>
  </r>
  <r>
    <x v="39"/>
    <s v="SOT"/>
    <x v="2"/>
    <x v="0"/>
    <x v="1"/>
    <n v="118"/>
    <x v="0"/>
  </r>
  <r>
    <x v="39"/>
    <s v="SOT"/>
    <x v="2"/>
    <x v="0"/>
    <x v="2"/>
    <n v="271"/>
    <x v="0"/>
  </r>
  <r>
    <x v="39"/>
    <s v="SOT"/>
    <x v="2"/>
    <x v="0"/>
    <x v="3"/>
    <n v="275"/>
    <x v="0"/>
  </r>
  <r>
    <x v="39"/>
    <s v="SOT"/>
    <x v="2"/>
    <x v="1"/>
    <x v="0"/>
    <n v="228"/>
    <x v="0"/>
  </r>
  <r>
    <x v="39"/>
    <s v="SOT"/>
    <x v="2"/>
    <x v="1"/>
    <x v="1"/>
    <n v="288"/>
    <x v="0"/>
  </r>
  <r>
    <x v="39"/>
    <s v="SOT"/>
    <x v="2"/>
    <x v="1"/>
    <x v="2"/>
    <n v="171"/>
    <x v="0"/>
  </r>
  <r>
    <x v="39"/>
    <s v="SOT"/>
    <x v="2"/>
    <x v="1"/>
    <x v="3"/>
    <n v="443"/>
    <x v="0"/>
  </r>
  <r>
    <x v="39"/>
    <s v="SOT"/>
    <x v="2"/>
    <x v="2"/>
    <x v="0"/>
    <n v="448"/>
    <x v="0"/>
  </r>
  <r>
    <x v="39"/>
    <s v="SOT"/>
    <x v="2"/>
    <x v="2"/>
    <x v="1"/>
    <n v="394"/>
    <x v="0"/>
  </r>
  <r>
    <x v="39"/>
    <s v="SOT"/>
    <x v="2"/>
    <x v="2"/>
    <x v="2"/>
    <n v="609"/>
    <x v="0"/>
  </r>
  <r>
    <x v="39"/>
    <s v="SOT"/>
    <x v="2"/>
    <x v="2"/>
    <x v="3"/>
    <n v="507"/>
    <x v="0"/>
  </r>
  <r>
    <x v="39"/>
    <s v="SOT"/>
    <x v="2"/>
    <x v="3"/>
    <x v="0"/>
    <n v="232"/>
    <x v="0"/>
  </r>
  <r>
    <x v="39"/>
    <s v="SOT"/>
    <x v="2"/>
    <x v="3"/>
    <x v="1"/>
    <n v="312"/>
    <x v="0"/>
  </r>
  <r>
    <x v="39"/>
    <s v="SOT"/>
    <x v="2"/>
    <x v="3"/>
    <x v="2"/>
    <n v="549"/>
    <x v="0"/>
  </r>
  <r>
    <x v="39"/>
    <s v="SOT"/>
    <x v="2"/>
    <x v="3"/>
    <x v="3"/>
    <n v="738"/>
    <x v="0"/>
  </r>
  <r>
    <x v="40"/>
    <s v="ARD"/>
    <x v="0"/>
    <x v="0"/>
    <x v="0"/>
    <n v="118"/>
    <x v="0"/>
  </r>
  <r>
    <x v="40"/>
    <s v="ARD"/>
    <x v="0"/>
    <x v="0"/>
    <x v="1"/>
    <n v="112"/>
    <x v="0"/>
  </r>
  <r>
    <x v="40"/>
    <s v="ARD"/>
    <x v="0"/>
    <x v="0"/>
    <x v="2"/>
    <n v="121"/>
    <x v="0"/>
  </r>
  <r>
    <x v="40"/>
    <s v="ARD"/>
    <x v="0"/>
    <x v="0"/>
    <x v="3"/>
    <n v="135"/>
    <x v="0"/>
  </r>
  <r>
    <x v="40"/>
    <s v="ARD"/>
    <x v="0"/>
    <x v="1"/>
    <x v="0"/>
    <n v="142"/>
    <x v="0"/>
  </r>
  <r>
    <x v="40"/>
    <s v="ARD"/>
    <x v="0"/>
    <x v="1"/>
    <x v="1"/>
    <n v="153"/>
    <x v="0"/>
  </r>
  <r>
    <x v="40"/>
    <s v="ARD"/>
    <x v="0"/>
    <x v="1"/>
    <x v="2"/>
    <n v="137"/>
    <x v="0"/>
  </r>
  <r>
    <x v="40"/>
    <s v="ARD"/>
    <x v="0"/>
    <x v="1"/>
    <x v="3"/>
    <n v="151"/>
    <x v="0"/>
  </r>
  <r>
    <x v="40"/>
    <s v="ARD"/>
    <x v="0"/>
    <x v="2"/>
    <x v="0"/>
    <n v="146"/>
    <x v="0"/>
  </r>
  <r>
    <x v="40"/>
    <s v="ARD"/>
    <x v="0"/>
    <x v="2"/>
    <x v="1"/>
    <n v="152"/>
    <x v="0"/>
  </r>
  <r>
    <x v="40"/>
    <s v="ARD"/>
    <x v="0"/>
    <x v="2"/>
    <x v="2"/>
    <n v="145"/>
    <x v="0"/>
  </r>
  <r>
    <x v="40"/>
    <s v="ARD"/>
    <x v="0"/>
    <x v="2"/>
    <x v="3"/>
    <n v="163"/>
    <x v="0"/>
  </r>
  <r>
    <x v="40"/>
    <s v="ARD"/>
    <x v="0"/>
    <x v="3"/>
    <x v="0"/>
    <n v="150"/>
    <x v="0"/>
  </r>
  <r>
    <x v="40"/>
    <s v="ARD"/>
    <x v="0"/>
    <x v="3"/>
    <x v="1"/>
    <n v="158"/>
    <x v="0"/>
  </r>
  <r>
    <x v="40"/>
    <s v="ARD"/>
    <x v="0"/>
    <x v="3"/>
    <x v="2"/>
    <n v="161"/>
    <x v="0"/>
  </r>
  <r>
    <x v="40"/>
    <s v="ARD"/>
    <x v="0"/>
    <x v="3"/>
    <x v="3"/>
    <n v="177"/>
    <x v="0"/>
  </r>
  <r>
    <x v="40"/>
    <s v="ARD"/>
    <x v="1"/>
    <x v="0"/>
    <x v="0"/>
    <n v="218"/>
    <x v="0"/>
  </r>
  <r>
    <x v="40"/>
    <s v="ARD"/>
    <x v="1"/>
    <x v="0"/>
    <x v="1"/>
    <n v="164"/>
    <x v="0"/>
  </r>
  <r>
    <x v="40"/>
    <s v="ARD"/>
    <x v="1"/>
    <x v="0"/>
    <x v="2"/>
    <n v="254"/>
    <x v="0"/>
  </r>
  <r>
    <x v="40"/>
    <s v="ARD"/>
    <x v="1"/>
    <x v="0"/>
    <x v="3"/>
    <n v="111"/>
    <x v="0"/>
  </r>
  <r>
    <x v="40"/>
    <s v="ARD"/>
    <x v="1"/>
    <x v="1"/>
    <x v="0"/>
    <n v="135"/>
    <x v="0"/>
  </r>
  <r>
    <x v="40"/>
    <s v="ARD"/>
    <x v="1"/>
    <x v="1"/>
    <x v="1"/>
    <n v="103"/>
    <x v="0"/>
  </r>
  <r>
    <x v="40"/>
    <s v="ARD"/>
    <x v="1"/>
    <x v="1"/>
    <x v="2"/>
    <n v="112"/>
    <x v="0"/>
  </r>
  <r>
    <x v="40"/>
    <s v="ARD"/>
    <x v="1"/>
    <x v="1"/>
    <x v="3"/>
    <n v="124"/>
    <x v="0"/>
  </r>
  <r>
    <x v="40"/>
    <s v="ARD"/>
    <x v="1"/>
    <x v="2"/>
    <x v="0"/>
    <n v="112"/>
    <x v="0"/>
  </r>
  <r>
    <x v="40"/>
    <s v="ARD"/>
    <x v="1"/>
    <x v="2"/>
    <x v="1"/>
    <n v="109"/>
    <x v="0"/>
  </r>
  <r>
    <x v="40"/>
    <s v="ARD"/>
    <x v="1"/>
    <x v="2"/>
    <x v="2"/>
    <n v="65"/>
    <x v="0"/>
  </r>
  <r>
    <x v="40"/>
    <s v="ARD"/>
    <x v="1"/>
    <x v="2"/>
    <x v="3"/>
    <n v="170"/>
    <x v="0"/>
  </r>
  <r>
    <x v="40"/>
    <s v="ARD"/>
    <x v="1"/>
    <x v="3"/>
    <x v="0"/>
    <n v="54"/>
    <x v="0"/>
  </r>
  <r>
    <x v="40"/>
    <s v="ARD"/>
    <x v="1"/>
    <x v="3"/>
    <x v="1"/>
    <n v="88"/>
    <x v="0"/>
  </r>
  <r>
    <x v="40"/>
    <s v="ARD"/>
    <x v="1"/>
    <x v="3"/>
    <x v="2"/>
    <n v="58"/>
    <x v="0"/>
  </r>
  <r>
    <x v="40"/>
    <s v="ARD"/>
    <x v="1"/>
    <x v="3"/>
    <x v="3"/>
    <n v="100"/>
    <x v="0"/>
  </r>
  <r>
    <x v="40"/>
    <s v="ARD"/>
    <x v="2"/>
    <x v="0"/>
    <x v="0"/>
    <n v="2510"/>
    <x v="0"/>
  </r>
  <r>
    <x v="40"/>
    <s v="ARD"/>
    <x v="2"/>
    <x v="0"/>
    <x v="1"/>
    <n v="2835"/>
    <x v="0"/>
  </r>
  <r>
    <x v="40"/>
    <s v="ARD"/>
    <x v="2"/>
    <x v="0"/>
    <x v="2"/>
    <n v="2708"/>
    <x v="0"/>
  </r>
  <r>
    <x v="40"/>
    <s v="ARD"/>
    <x v="2"/>
    <x v="0"/>
    <x v="3"/>
    <n v="2816"/>
    <x v="0"/>
  </r>
  <r>
    <x v="40"/>
    <s v="ARD"/>
    <x v="2"/>
    <x v="1"/>
    <x v="0"/>
    <n v="2362"/>
    <x v="0"/>
  </r>
  <r>
    <x v="40"/>
    <s v="ARD"/>
    <x v="2"/>
    <x v="1"/>
    <x v="1"/>
    <n v="2604"/>
    <x v="0"/>
  </r>
  <r>
    <x v="40"/>
    <s v="ARD"/>
    <x v="2"/>
    <x v="1"/>
    <x v="2"/>
    <n v="2636"/>
    <x v="0"/>
  </r>
  <r>
    <x v="40"/>
    <s v="ARD"/>
    <x v="2"/>
    <x v="1"/>
    <x v="3"/>
    <n v="2670"/>
    <x v="0"/>
  </r>
  <r>
    <x v="40"/>
    <s v="ARD"/>
    <x v="2"/>
    <x v="2"/>
    <x v="0"/>
    <n v="2663"/>
    <x v="0"/>
  </r>
  <r>
    <x v="40"/>
    <s v="ARD"/>
    <x v="2"/>
    <x v="2"/>
    <x v="1"/>
    <n v="2551"/>
    <x v="0"/>
  </r>
  <r>
    <x v="40"/>
    <s v="ARD"/>
    <x v="2"/>
    <x v="2"/>
    <x v="2"/>
    <n v="2783"/>
    <x v="0"/>
  </r>
  <r>
    <x v="40"/>
    <s v="ARD"/>
    <x v="2"/>
    <x v="2"/>
    <x v="3"/>
    <n v="2529"/>
    <x v="0"/>
  </r>
  <r>
    <x v="40"/>
    <s v="ARD"/>
    <x v="2"/>
    <x v="3"/>
    <x v="0"/>
    <n v="2552"/>
    <x v="0"/>
  </r>
  <r>
    <x v="40"/>
    <s v="ARD"/>
    <x v="2"/>
    <x v="3"/>
    <x v="1"/>
    <n v="2845"/>
    <x v="0"/>
  </r>
  <r>
    <x v="40"/>
    <s v="ARD"/>
    <x v="2"/>
    <x v="3"/>
    <x v="2"/>
    <n v="2814"/>
    <x v="0"/>
  </r>
  <r>
    <x v="40"/>
    <s v="ARD"/>
    <x v="2"/>
    <x v="3"/>
    <x v="3"/>
    <n v="2805"/>
    <x v="0"/>
  </r>
  <r>
    <x v="0"/>
    <s v="ATL"/>
    <x v="0"/>
    <x v="0"/>
    <x v="4"/>
    <n v="3082"/>
    <x v="1"/>
  </r>
  <r>
    <x v="0"/>
    <s v="ATL"/>
    <x v="0"/>
    <x v="0"/>
    <x v="5"/>
    <n v="2321"/>
    <x v="1"/>
  </r>
  <r>
    <x v="0"/>
    <s v="ATL"/>
    <x v="0"/>
    <x v="1"/>
    <x v="4"/>
    <n v="3085"/>
    <x v="1"/>
  </r>
  <r>
    <x v="0"/>
    <s v="ATL"/>
    <x v="0"/>
    <x v="1"/>
    <x v="5"/>
    <n v="2027"/>
    <x v="1"/>
  </r>
  <r>
    <x v="0"/>
    <s v="ATL"/>
    <x v="0"/>
    <x v="2"/>
    <x v="4"/>
    <n v="3096"/>
    <x v="1"/>
  </r>
  <r>
    <x v="0"/>
    <s v="ATL"/>
    <x v="0"/>
    <x v="2"/>
    <x v="5"/>
    <n v="2164"/>
    <x v="1"/>
  </r>
  <r>
    <x v="0"/>
    <s v="ATL"/>
    <x v="0"/>
    <x v="3"/>
    <x v="4"/>
    <n v="3663"/>
    <x v="1"/>
  </r>
  <r>
    <x v="0"/>
    <s v="ATL"/>
    <x v="0"/>
    <x v="3"/>
    <x v="5"/>
    <n v="2387"/>
    <x v="1"/>
  </r>
  <r>
    <x v="1"/>
    <s v="WAA"/>
    <x v="0"/>
    <x v="0"/>
    <x v="4"/>
    <n v="5893"/>
    <x v="1"/>
  </r>
  <r>
    <x v="1"/>
    <s v="WAA"/>
    <x v="0"/>
    <x v="0"/>
    <x v="5"/>
    <n v="5745"/>
    <x v="1"/>
  </r>
  <r>
    <x v="1"/>
    <s v="WAA"/>
    <x v="0"/>
    <x v="1"/>
    <x v="4"/>
    <n v="6533"/>
    <x v="1"/>
  </r>
  <r>
    <x v="1"/>
    <s v="WAA"/>
    <x v="0"/>
    <x v="1"/>
    <x v="5"/>
    <n v="6191"/>
    <x v="1"/>
  </r>
  <r>
    <x v="1"/>
    <s v="WAA"/>
    <x v="0"/>
    <x v="2"/>
    <x v="4"/>
    <n v="7100"/>
    <x v="1"/>
  </r>
  <r>
    <x v="1"/>
    <s v="WAA"/>
    <x v="0"/>
    <x v="2"/>
    <x v="5"/>
    <n v="5967"/>
    <x v="1"/>
  </r>
  <r>
    <x v="1"/>
    <s v="WAA"/>
    <x v="0"/>
    <x v="3"/>
    <x v="4"/>
    <n v="7882"/>
    <x v="1"/>
  </r>
  <r>
    <x v="1"/>
    <s v="WAA"/>
    <x v="0"/>
    <x v="3"/>
    <x v="5"/>
    <n v="7344"/>
    <x v="1"/>
  </r>
  <r>
    <x v="2"/>
    <s v="ATW"/>
    <x v="0"/>
    <x v="0"/>
    <x v="4"/>
    <n v="13100"/>
    <x v="1"/>
  </r>
  <r>
    <x v="2"/>
    <s v="ATW"/>
    <x v="0"/>
    <x v="0"/>
    <x v="5"/>
    <n v="13213"/>
    <x v="1"/>
  </r>
  <r>
    <x v="2"/>
    <s v="ATW"/>
    <x v="0"/>
    <x v="1"/>
    <x v="4"/>
    <n v="14604"/>
    <x v="1"/>
  </r>
  <r>
    <x v="2"/>
    <s v="ATW"/>
    <x v="0"/>
    <x v="1"/>
    <x v="5"/>
    <n v="15339"/>
    <x v="1"/>
  </r>
  <r>
    <x v="2"/>
    <s v="ATW"/>
    <x v="0"/>
    <x v="2"/>
    <x v="4"/>
    <n v="17023"/>
    <x v="1"/>
  </r>
  <r>
    <x v="2"/>
    <s v="ATW"/>
    <x v="0"/>
    <x v="2"/>
    <x v="5"/>
    <n v="17484"/>
    <x v="1"/>
  </r>
  <r>
    <x v="2"/>
    <s v="ATW"/>
    <x v="0"/>
    <x v="3"/>
    <x v="4"/>
    <n v="17696"/>
    <x v="1"/>
  </r>
  <r>
    <x v="2"/>
    <s v="ATW"/>
    <x v="0"/>
    <x v="3"/>
    <x v="5"/>
    <n v="17225"/>
    <x v="1"/>
  </r>
  <r>
    <x v="3"/>
    <s v="BOA"/>
    <x v="0"/>
    <x v="0"/>
    <x v="4"/>
    <n v="7700"/>
    <x v="1"/>
  </r>
  <r>
    <x v="3"/>
    <s v="BOA"/>
    <x v="0"/>
    <x v="0"/>
    <x v="5"/>
    <n v="7926"/>
    <x v="1"/>
  </r>
  <r>
    <x v="3"/>
    <s v="BOA"/>
    <x v="0"/>
    <x v="1"/>
    <x v="4"/>
    <n v="8405"/>
    <x v="1"/>
  </r>
  <r>
    <x v="3"/>
    <s v="BOA"/>
    <x v="0"/>
    <x v="1"/>
    <x v="5"/>
    <n v="8537"/>
    <x v="1"/>
  </r>
  <r>
    <x v="3"/>
    <s v="BOA"/>
    <x v="0"/>
    <x v="2"/>
    <x v="4"/>
    <n v="9620"/>
    <x v="1"/>
  </r>
  <r>
    <x v="3"/>
    <s v="BOA"/>
    <x v="0"/>
    <x v="2"/>
    <x v="5"/>
    <n v="9002"/>
    <x v="1"/>
  </r>
  <r>
    <x v="3"/>
    <s v="BOA"/>
    <x v="0"/>
    <x v="3"/>
    <x v="4"/>
    <n v="10487"/>
    <x v="1"/>
  </r>
  <r>
    <x v="3"/>
    <s v="BOA"/>
    <x v="0"/>
    <x v="3"/>
    <x v="5"/>
    <n v="9861"/>
    <x v="1"/>
  </r>
  <r>
    <x v="4"/>
    <s v="BCP"/>
    <x v="0"/>
    <x v="0"/>
    <x v="4"/>
    <n v="10461"/>
    <x v="1"/>
  </r>
  <r>
    <x v="4"/>
    <s v="BCP"/>
    <x v="0"/>
    <x v="0"/>
    <x v="5"/>
    <n v="10148"/>
    <x v="1"/>
  </r>
  <r>
    <x v="4"/>
    <s v="BCP"/>
    <x v="0"/>
    <x v="1"/>
    <x v="4"/>
    <n v="11742"/>
    <x v="1"/>
  </r>
  <r>
    <x v="4"/>
    <s v="BCP"/>
    <x v="0"/>
    <x v="1"/>
    <x v="5"/>
    <n v="11053"/>
    <x v="1"/>
  </r>
  <r>
    <x v="4"/>
    <s v="BCP"/>
    <x v="0"/>
    <x v="2"/>
    <x v="4"/>
    <n v="12838"/>
    <x v="1"/>
  </r>
  <r>
    <x v="4"/>
    <s v="BCP"/>
    <x v="0"/>
    <x v="2"/>
    <x v="5"/>
    <n v="12763"/>
    <x v="1"/>
  </r>
  <r>
    <x v="4"/>
    <s v="BCP"/>
    <x v="0"/>
    <x v="3"/>
    <x v="4"/>
    <n v="13912"/>
    <x v="1"/>
  </r>
  <r>
    <x v="4"/>
    <s v="BCP"/>
    <x v="0"/>
    <x v="3"/>
    <x v="5"/>
    <n v="13088"/>
    <x v="1"/>
  </r>
  <r>
    <x v="5"/>
    <s v="BCI"/>
    <x v="0"/>
    <x v="0"/>
    <x v="4"/>
    <n v="1520"/>
    <x v="1"/>
  </r>
  <r>
    <x v="5"/>
    <s v="BCI"/>
    <x v="0"/>
    <x v="0"/>
    <x v="5"/>
    <n v="1535"/>
    <x v="1"/>
  </r>
  <r>
    <x v="5"/>
    <s v="BCI"/>
    <x v="0"/>
    <x v="1"/>
    <x v="4"/>
    <n v="1694"/>
    <x v="1"/>
  </r>
  <r>
    <x v="5"/>
    <s v="BCI"/>
    <x v="0"/>
    <x v="1"/>
    <x v="5"/>
    <n v="1746"/>
    <x v="1"/>
  </r>
  <r>
    <x v="5"/>
    <s v="BCI"/>
    <x v="0"/>
    <x v="2"/>
    <x v="4"/>
    <n v="1890"/>
    <x v="1"/>
  </r>
  <r>
    <x v="5"/>
    <s v="BCI"/>
    <x v="0"/>
    <x v="2"/>
    <x v="5"/>
    <n v="1900"/>
    <x v="1"/>
  </r>
  <r>
    <x v="5"/>
    <s v="BCI"/>
    <x v="0"/>
    <x v="3"/>
    <x v="4"/>
    <n v="1990"/>
    <x v="1"/>
  </r>
  <r>
    <x v="5"/>
    <s v="BCI"/>
    <x v="0"/>
    <x v="3"/>
    <x v="5"/>
    <n v="1950"/>
    <x v="1"/>
  </r>
  <r>
    <x v="6"/>
    <s v="CDM"/>
    <x v="0"/>
    <x v="0"/>
    <x v="4"/>
    <n v="1285"/>
    <x v="1"/>
  </r>
  <r>
    <x v="6"/>
    <s v="CDM"/>
    <x v="0"/>
    <x v="0"/>
    <x v="5"/>
    <n v="1284"/>
    <x v="1"/>
  </r>
  <r>
    <x v="6"/>
    <s v="CDM"/>
    <x v="0"/>
    <x v="1"/>
    <x v="4"/>
    <n v="1426"/>
    <x v="1"/>
  </r>
  <r>
    <x v="6"/>
    <s v="CDM"/>
    <x v="0"/>
    <x v="1"/>
    <x v="5"/>
    <n v="1474"/>
    <x v="1"/>
  </r>
  <r>
    <x v="6"/>
    <s v="CDM"/>
    <x v="0"/>
    <x v="2"/>
    <x v="4"/>
    <n v="1606"/>
    <x v="1"/>
  </r>
  <r>
    <x v="6"/>
    <s v="CDM"/>
    <x v="0"/>
    <x v="2"/>
    <x v="5"/>
    <n v="1694"/>
    <x v="1"/>
  </r>
  <r>
    <x v="6"/>
    <s v="CDM"/>
    <x v="0"/>
    <x v="3"/>
    <x v="4"/>
    <n v="1775"/>
    <x v="1"/>
  </r>
  <r>
    <x v="6"/>
    <s v="CDM"/>
    <x v="0"/>
    <x v="3"/>
    <x v="5"/>
    <n v="1693"/>
    <x v="1"/>
  </r>
  <r>
    <x v="7"/>
    <s v="CFG"/>
    <x v="0"/>
    <x v="0"/>
    <x v="4"/>
    <n v="229"/>
    <x v="1"/>
  </r>
  <r>
    <x v="7"/>
    <s v="CFG"/>
    <x v="0"/>
    <x v="0"/>
    <x v="5"/>
    <n v="271"/>
    <x v="1"/>
  </r>
  <r>
    <x v="7"/>
    <s v="CFG"/>
    <x v="0"/>
    <x v="1"/>
    <x v="4"/>
    <n v="309"/>
    <x v="1"/>
  </r>
  <r>
    <x v="7"/>
    <s v="CFG"/>
    <x v="0"/>
    <x v="1"/>
    <x v="5"/>
    <n v="348"/>
    <x v="1"/>
  </r>
  <r>
    <x v="7"/>
    <s v="CFG"/>
    <x v="0"/>
    <x v="2"/>
    <x v="4"/>
    <n v="424"/>
    <x v="1"/>
  </r>
  <r>
    <x v="7"/>
    <s v="CFG"/>
    <x v="0"/>
    <x v="2"/>
    <x v="5"/>
    <n v="517"/>
    <x v="1"/>
  </r>
  <r>
    <x v="7"/>
    <s v="CFG"/>
    <x v="0"/>
    <x v="3"/>
    <x v="4"/>
    <n v="600"/>
    <x v="1"/>
  </r>
  <r>
    <x v="7"/>
    <s v="CFG"/>
    <x v="0"/>
    <x v="3"/>
    <x v="5"/>
    <n v="647"/>
    <x v="1"/>
  </r>
  <r>
    <x v="8"/>
    <s v="CIH"/>
    <x v="0"/>
    <x v="0"/>
    <x v="4"/>
    <n v="1624"/>
    <x v="1"/>
  </r>
  <r>
    <x v="8"/>
    <s v="CIH"/>
    <x v="0"/>
    <x v="0"/>
    <x v="5"/>
    <n v="1894"/>
    <x v="1"/>
  </r>
  <r>
    <x v="8"/>
    <s v="CIH"/>
    <x v="0"/>
    <x v="1"/>
    <x v="4"/>
    <n v="2219"/>
    <x v="1"/>
  </r>
  <r>
    <x v="8"/>
    <s v="CIH"/>
    <x v="0"/>
    <x v="1"/>
    <x v="5"/>
    <n v="2249"/>
    <x v="1"/>
  </r>
  <r>
    <x v="8"/>
    <s v="CIH"/>
    <x v="0"/>
    <x v="2"/>
    <x v="4"/>
    <n v="2333"/>
    <x v="1"/>
  </r>
  <r>
    <x v="8"/>
    <s v="CIH"/>
    <x v="0"/>
    <x v="2"/>
    <x v="5"/>
    <n v="2406"/>
    <x v="1"/>
  </r>
  <r>
    <x v="8"/>
    <s v="CIH"/>
    <x v="0"/>
    <x v="3"/>
    <x v="4"/>
    <n v="2748"/>
    <x v="1"/>
  </r>
  <r>
    <x v="8"/>
    <s v="CIH"/>
    <x v="0"/>
    <x v="3"/>
    <x v="5"/>
    <n v="2675"/>
    <x v="1"/>
  </r>
  <r>
    <x v="9"/>
    <s v="EQD"/>
    <x v="0"/>
    <x v="0"/>
    <x v="4"/>
    <n v="307"/>
    <x v="1"/>
  </r>
  <r>
    <x v="9"/>
    <s v="EQD"/>
    <x v="0"/>
    <x v="0"/>
    <x v="5"/>
    <n v="274"/>
    <x v="1"/>
  </r>
  <r>
    <x v="9"/>
    <s v="EQD"/>
    <x v="0"/>
    <x v="1"/>
    <x v="4"/>
    <n v="293"/>
    <x v="1"/>
  </r>
  <r>
    <x v="9"/>
    <s v="EQD"/>
    <x v="0"/>
    <x v="1"/>
    <x v="5"/>
    <n v="254"/>
    <x v="1"/>
  </r>
  <r>
    <x v="9"/>
    <s v="EQD"/>
    <x v="0"/>
    <x v="2"/>
    <x v="4"/>
    <n v="282"/>
    <x v="1"/>
  </r>
  <r>
    <x v="9"/>
    <s v="EQD"/>
    <x v="0"/>
    <x v="2"/>
    <x v="5"/>
    <n v="261"/>
    <x v="1"/>
  </r>
  <r>
    <x v="9"/>
    <s v="EQD"/>
    <x v="0"/>
    <x v="3"/>
    <x v="4"/>
    <n v="306"/>
    <x v="1"/>
  </r>
  <r>
    <x v="9"/>
    <s v="EQD"/>
    <x v="0"/>
    <x v="3"/>
    <x v="5"/>
    <n v="730"/>
    <x v="1"/>
  </r>
  <r>
    <x v="10"/>
    <s v="SLF"/>
    <x v="0"/>
    <x v="0"/>
    <x v="4"/>
    <n v="195"/>
    <x v="1"/>
  </r>
  <r>
    <x v="10"/>
    <s v="SLF"/>
    <x v="0"/>
    <x v="0"/>
    <x v="5"/>
    <n v="204"/>
    <x v="1"/>
  </r>
  <r>
    <x v="10"/>
    <s v="SLF"/>
    <x v="0"/>
    <x v="1"/>
    <x v="4"/>
    <n v="192"/>
    <x v="1"/>
  </r>
  <r>
    <x v="10"/>
    <s v="SLF"/>
    <x v="0"/>
    <x v="1"/>
    <x v="5"/>
    <n v="204"/>
    <x v="1"/>
  </r>
  <r>
    <x v="10"/>
    <s v="SLF"/>
    <x v="0"/>
    <x v="2"/>
    <x v="4"/>
    <n v="186"/>
    <x v="1"/>
  </r>
  <r>
    <x v="10"/>
    <s v="SLF"/>
    <x v="0"/>
    <x v="2"/>
    <x v="5"/>
    <n v="193"/>
    <x v="1"/>
  </r>
  <r>
    <x v="10"/>
    <s v="SLF"/>
    <x v="0"/>
    <x v="3"/>
    <x v="4"/>
    <n v="191"/>
    <x v="1"/>
  </r>
  <r>
    <x v="10"/>
    <s v="SLF"/>
    <x v="0"/>
    <x v="3"/>
    <x v="5"/>
    <n v="95"/>
    <x v="1"/>
  </r>
  <r>
    <x v="11"/>
    <s v="CAP"/>
    <x v="0"/>
    <x v="3"/>
    <x v="4"/>
    <n v="0"/>
    <x v="1"/>
  </r>
  <r>
    <x v="12"/>
    <s v="CSR"/>
    <x v="0"/>
    <x v="0"/>
    <x v="4"/>
    <n v="5076"/>
    <x v="1"/>
  </r>
  <r>
    <x v="12"/>
    <s v="CSR"/>
    <x v="0"/>
    <x v="0"/>
    <x v="5"/>
    <n v="5357"/>
    <x v="1"/>
  </r>
  <r>
    <x v="12"/>
    <s v="CSR"/>
    <x v="0"/>
    <x v="1"/>
    <x v="4"/>
    <n v="4958"/>
    <x v="1"/>
  </r>
  <r>
    <x v="12"/>
    <s v="CSR"/>
    <x v="0"/>
    <x v="1"/>
    <x v="5"/>
    <n v="5275"/>
    <x v="1"/>
  </r>
  <r>
    <x v="12"/>
    <s v="CSR"/>
    <x v="0"/>
    <x v="2"/>
    <x v="4"/>
    <n v="4983"/>
    <x v="1"/>
  </r>
  <r>
    <x v="12"/>
    <s v="CSR"/>
    <x v="0"/>
    <x v="2"/>
    <x v="5"/>
    <n v="5255"/>
    <x v="1"/>
  </r>
  <r>
    <x v="12"/>
    <s v="CSR"/>
    <x v="0"/>
    <x v="3"/>
    <x v="4"/>
    <n v="5362"/>
    <x v="1"/>
  </r>
  <r>
    <x v="12"/>
    <s v="CSR"/>
    <x v="0"/>
    <x v="3"/>
    <x v="5"/>
    <n v="5125"/>
    <x v="1"/>
  </r>
  <r>
    <x v="12"/>
    <s v="CSR"/>
    <x v="1"/>
    <x v="0"/>
    <x v="4"/>
    <n v="165"/>
    <x v="1"/>
  </r>
  <r>
    <x v="12"/>
    <s v="CSR"/>
    <x v="1"/>
    <x v="0"/>
    <x v="5"/>
    <n v="118"/>
    <x v="1"/>
  </r>
  <r>
    <x v="12"/>
    <s v="CSR"/>
    <x v="1"/>
    <x v="1"/>
    <x v="4"/>
    <n v="104"/>
    <x v="1"/>
  </r>
  <r>
    <x v="12"/>
    <s v="CSR"/>
    <x v="1"/>
    <x v="1"/>
    <x v="5"/>
    <n v="138"/>
    <x v="1"/>
  </r>
  <r>
    <x v="12"/>
    <s v="CSR"/>
    <x v="1"/>
    <x v="2"/>
    <x v="4"/>
    <n v="88"/>
    <x v="1"/>
  </r>
  <r>
    <x v="12"/>
    <s v="CSR"/>
    <x v="1"/>
    <x v="2"/>
    <x v="5"/>
    <n v="112"/>
    <x v="1"/>
  </r>
  <r>
    <x v="12"/>
    <s v="CSR"/>
    <x v="1"/>
    <x v="3"/>
    <x v="4"/>
    <n v="92"/>
    <x v="1"/>
  </r>
  <r>
    <x v="12"/>
    <s v="CSR"/>
    <x v="1"/>
    <x v="3"/>
    <x v="5"/>
    <n v="153"/>
    <x v="1"/>
  </r>
  <r>
    <x v="12"/>
    <s v="CSR"/>
    <x v="2"/>
    <x v="0"/>
    <x v="4"/>
    <n v="1011"/>
    <x v="1"/>
  </r>
  <r>
    <x v="12"/>
    <s v="CSR"/>
    <x v="2"/>
    <x v="0"/>
    <x v="5"/>
    <n v="985"/>
    <x v="1"/>
  </r>
  <r>
    <x v="12"/>
    <s v="CSR"/>
    <x v="2"/>
    <x v="1"/>
    <x v="4"/>
    <n v="919"/>
    <x v="1"/>
  </r>
  <r>
    <x v="12"/>
    <s v="CSR"/>
    <x v="2"/>
    <x v="1"/>
    <x v="5"/>
    <n v="1458"/>
    <x v="1"/>
  </r>
  <r>
    <x v="12"/>
    <s v="CSR"/>
    <x v="2"/>
    <x v="2"/>
    <x v="4"/>
    <n v="1062"/>
    <x v="1"/>
  </r>
  <r>
    <x v="12"/>
    <s v="CSR"/>
    <x v="2"/>
    <x v="2"/>
    <x v="5"/>
    <n v="556"/>
    <x v="1"/>
  </r>
  <r>
    <x v="12"/>
    <s v="CSR"/>
    <x v="2"/>
    <x v="3"/>
    <x v="4"/>
    <n v="1608"/>
    <x v="1"/>
  </r>
  <r>
    <x v="12"/>
    <s v="CSR"/>
    <x v="2"/>
    <x v="3"/>
    <x v="5"/>
    <n v="206"/>
    <x v="1"/>
  </r>
  <r>
    <x v="13"/>
    <s v="LES"/>
    <x v="0"/>
    <x v="0"/>
    <x v="4"/>
    <n v="3598"/>
    <x v="1"/>
  </r>
  <r>
    <x v="13"/>
    <s v="LES"/>
    <x v="0"/>
    <x v="0"/>
    <x v="5"/>
    <n v="3291"/>
    <x v="1"/>
  </r>
  <r>
    <x v="13"/>
    <s v="LES"/>
    <x v="0"/>
    <x v="1"/>
    <x v="4"/>
    <n v="3039"/>
    <x v="1"/>
  </r>
  <r>
    <x v="13"/>
    <s v="LES"/>
    <x v="0"/>
    <x v="1"/>
    <x v="5"/>
    <n v="2895"/>
    <x v="1"/>
  </r>
  <r>
    <x v="13"/>
    <s v="LES"/>
    <x v="0"/>
    <x v="2"/>
    <x v="4"/>
    <n v="2711"/>
    <x v="1"/>
  </r>
  <r>
    <x v="13"/>
    <s v="LES"/>
    <x v="0"/>
    <x v="2"/>
    <x v="5"/>
    <n v="2417"/>
    <x v="1"/>
  </r>
  <r>
    <x v="13"/>
    <s v="LES"/>
    <x v="0"/>
    <x v="3"/>
    <x v="4"/>
    <n v="2824"/>
    <x v="1"/>
  </r>
  <r>
    <x v="13"/>
    <s v="LES"/>
    <x v="0"/>
    <x v="3"/>
    <x v="5"/>
    <n v="2443"/>
    <x v="1"/>
  </r>
  <r>
    <x v="13"/>
    <s v="LES"/>
    <x v="1"/>
    <x v="0"/>
    <x v="4"/>
    <n v="57"/>
    <x v="1"/>
  </r>
  <r>
    <x v="13"/>
    <s v="LES"/>
    <x v="1"/>
    <x v="0"/>
    <x v="5"/>
    <n v="109"/>
    <x v="1"/>
  </r>
  <r>
    <x v="13"/>
    <s v="LES"/>
    <x v="1"/>
    <x v="1"/>
    <x v="4"/>
    <n v="34"/>
    <x v="1"/>
  </r>
  <r>
    <x v="13"/>
    <s v="LES"/>
    <x v="1"/>
    <x v="1"/>
    <x v="5"/>
    <n v="84"/>
    <x v="1"/>
  </r>
  <r>
    <x v="13"/>
    <s v="LES"/>
    <x v="1"/>
    <x v="2"/>
    <x v="4"/>
    <n v="100"/>
    <x v="1"/>
  </r>
  <r>
    <x v="13"/>
    <s v="LES"/>
    <x v="1"/>
    <x v="2"/>
    <x v="5"/>
    <n v="59"/>
    <x v="1"/>
  </r>
  <r>
    <x v="13"/>
    <s v="LES"/>
    <x v="1"/>
    <x v="3"/>
    <x v="4"/>
    <n v="19"/>
    <x v="1"/>
  </r>
  <r>
    <x v="13"/>
    <s v="LES"/>
    <x v="1"/>
    <x v="3"/>
    <x v="5"/>
    <n v="42"/>
    <x v="1"/>
  </r>
  <r>
    <x v="13"/>
    <s v="LES"/>
    <x v="2"/>
    <x v="0"/>
    <x v="4"/>
    <n v="-921"/>
    <x v="1"/>
  </r>
  <r>
    <x v="13"/>
    <s v="LES"/>
    <x v="2"/>
    <x v="0"/>
    <x v="5"/>
    <n v="-1094"/>
    <x v="1"/>
  </r>
  <r>
    <x v="13"/>
    <s v="LES"/>
    <x v="2"/>
    <x v="1"/>
    <x v="4"/>
    <n v="-1094"/>
    <x v="1"/>
  </r>
  <r>
    <x v="13"/>
    <s v="LES"/>
    <x v="2"/>
    <x v="1"/>
    <x v="5"/>
    <n v="36"/>
    <x v="1"/>
  </r>
  <r>
    <x v="13"/>
    <s v="LES"/>
    <x v="2"/>
    <x v="2"/>
    <x v="4"/>
    <n v="24"/>
    <x v="1"/>
  </r>
  <r>
    <x v="13"/>
    <s v="LES"/>
    <x v="2"/>
    <x v="2"/>
    <x v="5"/>
    <n v="196"/>
    <x v="1"/>
  </r>
  <r>
    <x v="13"/>
    <s v="LES"/>
    <x v="2"/>
    <x v="3"/>
    <x v="4"/>
    <n v="281"/>
    <x v="1"/>
  </r>
  <r>
    <x v="13"/>
    <s v="LES"/>
    <x v="2"/>
    <x v="3"/>
    <x v="5"/>
    <n v="243"/>
    <x v="1"/>
  </r>
  <r>
    <x v="14"/>
    <s v="MUT"/>
    <x v="0"/>
    <x v="0"/>
    <x v="4"/>
    <n v="1021"/>
    <x v="1"/>
  </r>
  <r>
    <x v="14"/>
    <s v="MUT"/>
    <x v="0"/>
    <x v="0"/>
    <x v="5"/>
    <n v="1308"/>
    <x v="1"/>
  </r>
  <r>
    <x v="14"/>
    <s v="MUT"/>
    <x v="0"/>
    <x v="1"/>
    <x v="4"/>
    <n v="1100"/>
    <x v="1"/>
  </r>
  <r>
    <x v="14"/>
    <s v="MUT"/>
    <x v="0"/>
    <x v="1"/>
    <x v="5"/>
    <n v="1397"/>
    <x v="1"/>
  </r>
  <r>
    <x v="14"/>
    <s v="MUT"/>
    <x v="0"/>
    <x v="2"/>
    <x v="4"/>
    <n v="965"/>
    <x v="1"/>
  </r>
  <r>
    <x v="14"/>
    <s v="MUT"/>
    <x v="0"/>
    <x v="2"/>
    <x v="5"/>
    <n v="1151"/>
    <x v="1"/>
  </r>
  <r>
    <x v="14"/>
    <s v="MUT"/>
    <x v="0"/>
    <x v="3"/>
    <x v="4"/>
    <n v="902"/>
    <x v="1"/>
  </r>
  <r>
    <x v="14"/>
    <s v="MUT"/>
    <x v="0"/>
    <x v="3"/>
    <x v="5"/>
    <n v="1120"/>
    <x v="1"/>
  </r>
  <r>
    <x v="14"/>
    <s v="MUT"/>
    <x v="1"/>
    <x v="0"/>
    <x v="4"/>
    <n v="106"/>
    <x v="1"/>
  </r>
  <r>
    <x v="14"/>
    <s v="MUT"/>
    <x v="1"/>
    <x v="0"/>
    <x v="5"/>
    <n v="112"/>
    <x v="1"/>
  </r>
  <r>
    <x v="14"/>
    <s v="MUT"/>
    <x v="1"/>
    <x v="1"/>
    <x v="4"/>
    <n v="101"/>
    <x v="1"/>
  </r>
  <r>
    <x v="14"/>
    <s v="MUT"/>
    <x v="1"/>
    <x v="1"/>
    <x v="5"/>
    <n v="428"/>
    <x v="1"/>
  </r>
  <r>
    <x v="14"/>
    <s v="MUT"/>
    <x v="1"/>
    <x v="2"/>
    <x v="4"/>
    <n v="124"/>
    <x v="1"/>
  </r>
  <r>
    <x v="14"/>
    <s v="MUT"/>
    <x v="1"/>
    <x v="2"/>
    <x v="5"/>
    <n v="137"/>
    <x v="1"/>
  </r>
  <r>
    <x v="14"/>
    <s v="MUT"/>
    <x v="1"/>
    <x v="3"/>
    <x v="4"/>
    <n v="63"/>
    <x v="1"/>
  </r>
  <r>
    <x v="14"/>
    <s v="MUT"/>
    <x v="1"/>
    <x v="3"/>
    <x v="5"/>
    <n v="25"/>
    <x v="1"/>
  </r>
  <r>
    <x v="14"/>
    <s v="MUT"/>
    <x v="2"/>
    <x v="0"/>
    <x v="4"/>
    <n v="586"/>
    <x v="1"/>
  </r>
  <r>
    <x v="14"/>
    <s v="MUT"/>
    <x v="2"/>
    <x v="0"/>
    <x v="5"/>
    <n v="739"/>
    <x v="1"/>
  </r>
  <r>
    <x v="14"/>
    <s v="MUT"/>
    <x v="2"/>
    <x v="1"/>
    <x v="4"/>
    <n v="954"/>
    <x v="1"/>
  </r>
  <r>
    <x v="14"/>
    <s v="MUT"/>
    <x v="2"/>
    <x v="1"/>
    <x v="5"/>
    <n v="1102"/>
    <x v="1"/>
  </r>
  <r>
    <x v="14"/>
    <s v="MUT"/>
    <x v="2"/>
    <x v="2"/>
    <x v="4"/>
    <n v="710"/>
    <x v="1"/>
  </r>
  <r>
    <x v="14"/>
    <s v="MUT"/>
    <x v="2"/>
    <x v="2"/>
    <x v="5"/>
    <n v="850"/>
    <x v="1"/>
  </r>
  <r>
    <x v="14"/>
    <s v="MUT"/>
    <x v="2"/>
    <x v="3"/>
    <x v="4"/>
    <n v="938"/>
    <x v="1"/>
  </r>
  <r>
    <x v="14"/>
    <s v="MUT"/>
    <x v="2"/>
    <x v="3"/>
    <x v="5"/>
    <n v="828"/>
    <x v="1"/>
  </r>
  <r>
    <x v="15"/>
    <s v="SBM"/>
    <x v="0"/>
    <x v="0"/>
    <x v="4"/>
    <n v="1098"/>
    <x v="1"/>
  </r>
  <r>
    <x v="15"/>
    <s v="SBM"/>
    <x v="0"/>
    <x v="0"/>
    <x v="5"/>
    <n v="1815"/>
    <x v="1"/>
  </r>
  <r>
    <x v="15"/>
    <s v="SBM"/>
    <x v="0"/>
    <x v="1"/>
    <x v="4"/>
    <n v="1213"/>
    <x v="1"/>
  </r>
  <r>
    <x v="15"/>
    <s v="SBM"/>
    <x v="0"/>
    <x v="1"/>
    <x v="5"/>
    <n v="1718"/>
    <x v="1"/>
  </r>
  <r>
    <x v="15"/>
    <s v="SBM"/>
    <x v="0"/>
    <x v="2"/>
    <x v="4"/>
    <n v="1118"/>
    <x v="1"/>
  </r>
  <r>
    <x v="15"/>
    <s v="SBM"/>
    <x v="0"/>
    <x v="2"/>
    <x v="5"/>
    <n v="1744"/>
    <x v="1"/>
  </r>
  <r>
    <x v="15"/>
    <s v="SBM"/>
    <x v="0"/>
    <x v="3"/>
    <x v="4"/>
    <n v="1181"/>
    <x v="1"/>
  </r>
  <r>
    <x v="15"/>
    <s v="SBM"/>
    <x v="0"/>
    <x v="3"/>
    <x v="5"/>
    <n v="1901"/>
    <x v="1"/>
  </r>
  <r>
    <x v="15"/>
    <s v="SBM"/>
    <x v="1"/>
    <x v="0"/>
    <x v="4"/>
    <n v="17"/>
    <x v="1"/>
  </r>
  <r>
    <x v="15"/>
    <s v="SBM"/>
    <x v="1"/>
    <x v="0"/>
    <x v="5"/>
    <n v="51"/>
    <x v="1"/>
  </r>
  <r>
    <x v="15"/>
    <s v="SBM"/>
    <x v="1"/>
    <x v="1"/>
    <x v="4"/>
    <n v="97"/>
    <x v="1"/>
  </r>
  <r>
    <x v="15"/>
    <s v="SBM"/>
    <x v="1"/>
    <x v="1"/>
    <x v="5"/>
    <n v="98"/>
    <x v="1"/>
  </r>
  <r>
    <x v="15"/>
    <s v="SBM"/>
    <x v="1"/>
    <x v="2"/>
    <x v="4"/>
    <n v="53"/>
    <x v="1"/>
  </r>
  <r>
    <x v="15"/>
    <s v="SBM"/>
    <x v="1"/>
    <x v="2"/>
    <x v="5"/>
    <n v="61"/>
    <x v="1"/>
  </r>
  <r>
    <x v="15"/>
    <s v="SBM"/>
    <x v="1"/>
    <x v="3"/>
    <x v="4"/>
    <n v="50"/>
    <x v="1"/>
  </r>
  <r>
    <x v="15"/>
    <s v="SBM"/>
    <x v="1"/>
    <x v="3"/>
    <x v="5"/>
    <n v="51"/>
    <x v="1"/>
  </r>
  <r>
    <x v="15"/>
    <s v="SBM"/>
    <x v="2"/>
    <x v="0"/>
    <x v="4"/>
    <n v="-760"/>
    <x v="1"/>
  </r>
  <r>
    <x v="15"/>
    <s v="SBM"/>
    <x v="2"/>
    <x v="0"/>
    <x v="5"/>
    <n v="-841"/>
    <x v="1"/>
  </r>
  <r>
    <x v="15"/>
    <s v="SBM"/>
    <x v="2"/>
    <x v="1"/>
    <x v="4"/>
    <n v="-319"/>
    <x v="1"/>
  </r>
  <r>
    <x v="15"/>
    <s v="SBM"/>
    <x v="2"/>
    <x v="1"/>
    <x v="5"/>
    <n v="-941"/>
    <x v="1"/>
  </r>
  <r>
    <x v="15"/>
    <s v="SBM"/>
    <x v="2"/>
    <x v="2"/>
    <x v="4"/>
    <n v="-365"/>
    <x v="1"/>
  </r>
  <r>
    <x v="15"/>
    <s v="SBM"/>
    <x v="2"/>
    <x v="2"/>
    <x v="5"/>
    <n v="-556"/>
    <x v="1"/>
  </r>
  <r>
    <x v="15"/>
    <s v="SBM"/>
    <x v="2"/>
    <x v="3"/>
    <x v="4"/>
    <n v="-253"/>
    <x v="1"/>
  </r>
  <r>
    <x v="15"/>
    <s v="SBM"/>
    <x v="2"/>
    <x v="3"/>
    <x v="5"/>
    <n v="-593"/>
    <x v="1"/>
  </r>
  <r>
    <x v="16"/>
    <s v="JET"/>
    <x v="0"/>
    <x v="0"/>
    <x v="4"/>
    <n v="870"/>
    <x v="1"/>
  </r>
  <r>
    <x v="16"/>
    <s v="JET"/>
    <x v="0"/>
    <x v="0"/>
    <x v="5"/>
    <n v="844"/>
    <x v="1"/>
  </r>
  <r>
    <x v="16"/>
    <s v="JET"/>
    <x v="0"/>
    <x v="1"/>
    <x v="4"/>
    <n v="1035"/>
    <x v="1"/>
  </r>
  <r>
    <x v="16"/>
    <s v="JET"/>
    <x v="0"/>
    <x v="1"/>
    <x v="5"/>
    <n v="1285"/>
    <x v="1"/>
  </r>
  <r>
    <x v="16"/>
    <s v="JET"/>
    <x v="0"/>
    <x v="2"/>
    <x v="4"/>
    <n v="1452"/>
    <x v="1"/>
  </r>
  <r>
    <x v="16"/>
    <s v="JET"/>
    <x v="0"/>
    <x v="2"/>
    <x v="5"/>
    <n v="1221"/>
    <x v="1"/>
  </r>
  <r>
    <x v="16"/>
    <s v="JET"/>
    <x v="0"/>
    <x v="3"/>
    <x v="4"/>
    <n v="1523"/>
    <x v="1"/>
  </r>
  <r>
    <x v="16"/>
    <s v="JET"/>
    <x v="0"/>
    <x v="3"/>
    <x v="5"/>
    <n v="2197"/>
    <x v="1"/>
  </r>
  <r>
    <x v="16"/>
    <s v="JET"/>
    <x v="1"/>
    <x v="0"/>
    <x v="4"/>
    <n v="10"/>
    <x v="1"/>
  </r>
  <r>
    <x v="16"/>
    <s v="JET"/>
    <x v="1"/>
    <x v="0"/>
    <x v="5"/>
    <n v="57"/>
    <x v="1"/>
  </r>
  <r>
    <x v="16"/>
    <s v="JET"/>
    <x v="1"/>
    <x v="1"/>
    <x v="4"/>
    <n v="25"/>
    <x v="1"/>
  </r>
  <r>
    <x v="16"/>
    <s v="JET"/>
    <x v="1"/>
    <x v="1"/>
    <x v="5"/>
    <n v="10"/>
    <x v="1"/>
  </r>
  <r>
    <x v="16"/>
    <s v="JET"/>
    <x v="1"/>
    <x v="2"/>
    <x v="4"/>
    <n v="38"/>
    <x v="1"/>
  </r>
  <r>
    <x v="16"/>
    <s v="JET"/>
    <x v="1"/>
    <x v="2"/>
    <x v="5"/>
    <n v="32"/>
    <x v="1"/>
  </r>
  <r>
    <x v="16"/>
    <s v="JET"/>
    <x v="1"/>
    <x v="3"/>
    <x v="4"/>
    <n v="37"/>
    <x v="1"/>
  </r>
  <r>
    <x v="16"/>
    <s v="JET"/>
    <x v="1"/>
    <x v="3"/>
    <x v="5"/>
    <n v="373"/>
    <x v="1"/>
  </r>
  <r>
    <x v="16"/>
    <s v="JET"/>
    <x v="2"/>
    <x v="0"/>
    <x v="4"/>
    <n v="1078"/>
    <x v="1"/>
  </r>
  <r>
    <x v="16"/>
    <s v="JET"/>
    <x v="2"/>
    <x v="0"/>
    <x v="5"/>
    <n v="844"/>
    <x v="1"/>
  </r>
  <r>
    <x v="16"/>
    <s v="JET"/>
    <x v="2"/>
    <x v="1"/>
    <x v="4"/>
    <n v="1169"/>
    <x v="1"/>
  </r>
  <r>
    <x v="16"/>
    <s v="JET"/>
    <x v="2"/>
    <x v="1"/>
    <x v="5"/>
    <n v="1016"/>
    <x v="1"/>
  </r>
  <r>
    <x v="16"/>
    <s v="JET"/>
    <x v="2"/>
    <x v="2"/>
    <x v="4"/>
    <n v="974"/>
    <x v="1"/>
  </r>
  <r>
    <x v="16"/>
    <s v="JET"/>
    <x v="2"/>
    <x v="2"/>
    <x v="5"/>
    <n v="1002"/>
    <x v="1"/>
  </r>
  <r>
    <x v="16"/>
    <s v="JET"/>
    <x v="2"/>
    <x v="3"/>
    <x v="4"/>
    <n v="1556"/>
    <x v="1"/>
  </r>
  <r>
    <x v="16"/>
    <s v="JET"/>
    <x v="2"/>
    <x v="3"/>
    <x v="5"/>
    <n v="1640"/>
    <x v="1"/>
  </r>
  <r>
    <x v="17"/>
    <s v="LHM"/>
    <x v="0"/>
    <x v="0"/>
    <x v="4"/>
    <n v="4004"/>
    <x v="1"/>
  </r>
  <r>
    <x v="17"/>
    <s v="LHM"/>
    <x v="0"/>
    <x v="0"/>
    <x v="5"/>
    <n v="3980"/>
    <x v="1"/>
  </r>
  <r>
    <x v="17"/>
    <s v="LHM"/>
    <x v="0"/>
    <x v="1"/>
    <x v="4"/>
    <n v="4130"/>
    <x v="1"/>
  </r>
  <r>
    <x v="17"/>
    <s v="LHM"/>
    <x v="0"/>
    <x v="1"/>
    <x v="5"/>
    <n v="4082"/>
    <x v="1"/>
  </r>
  <r>
    <x v="17"/>
    <s v="LHM"/>
    <x v="0"/>
    <x v="2"/>
    <x v="4"/>
    <n v="3691"/>
    <x v="1"/>
  </r>
  <r>
    <x v="17"/>
    <s v="LHM"/>
    <x v="0"/>
    <x v="2"/>
    <x v="5"/>
    <n v="4464"/>
    <x v="1"/>
  </r>
  <r>
    <x v="17"/>
    <s v="LHM"/>
    <x v="0"/>
    <x v="3"/>
    <x v="4"/>
    <n v="4159"/>
    <x v="1"/>
  </r>
  <r>
    <x v="17"/>
    <s v="LHM"/>
    <x v="0"/>
    <x v="3"/>
    <x v="5"/>
    <n v="4721"/>
    <x v="1"/>
  </r>
  <r>
    <x v="17"/>
    <s v="LHM"/>
    <x v="2"/>
    <x v="0"/>
    <x v="4"/>
    <n v="6270"/>
    <x v="1"/>
  </r>
  <r>
    <x v="17"/>
    <s v="LHM"/>
    <x v="2"/>
    <x v="0"/>
    <x v="5"/>
    <n v="5486"/>
    <x v="1"/>
  </r>
  <r>
    <x v="17"/>
    <s v="LHM"/>
    <x v="2"/>
    <x v="1"/>
    <x v="4"/>
    <n v="4600"/>
    <x v="1"/>
  </r>
  <r>
    <x v="17"/>
    <s v="LHM"/>
    <x v="2"/>
    <x v="1"/>
    <x v="5"/>
    <n v="4864"/>
    <x v="1"/>
  </r>
  <r>
    <x v="17"/>
    <s v="LHM"/>
    <x v="2"/>
    <x v="2"/>
    <x v="4"/>
    <n v="5661"/>
    <x v="1"/>
  </r>
  <r>
    <x v="17"/>
    <s v="LHM"/>
    <x v="2"/>
    <x v="2"/>
    <x v="5"/>
    <n v="4034"/>
    <x v="1"/>
  </r>
  <r>
    <x v="17"/>
    <s v="LHM"/>
    <x v="2"/>
    <x v="3"/>
    <x v="4"/>
    <n v="4881"/>
    <x v="1"/>
  </r>
  <r>
    <x v="17"/>
    <s v="LHM"/>
    <x v="2"/>
    <x v="3"/>
    <x v="5"/>
    <n v="4034"/>
    <x v="1"/>
  </r>
  <r>
    <x v="18"/>
    <s v="SID"/>
    <x v="0"/>
    <x v="0"/>
    <x v="4"/>
    <n v="2452"/>
    <x v="1"/>
  </r>
  <r>
    <x v="18"/>
    <s v="SID"/>
    <x v="0"/>
    <x v="0"/>
    <x v="5"/>
    <n v="2436"/>
    <x v="1"/>
  </r>
  <r>
    <x v="18"/>
    <s v="SID"/>
    <x v="0"/>
    <x v="1"/>
    <x v="4"/>
    <n v="2543"/>
    <x v="1"/>
  </r>
  <r>
    <x v="18"/>
    <s v="SID"/>
    <x v="0"/>
    <x v="1"/>
    <x v="5"/>
    <n v="2452"/>
    <x v="1"/>
  </r>
  <r>
    <x v="18"/>
    <s v="SID"/>
    <x v="0"/>
    <x v="2"/>
    <x v="4"/>
    <n v="2437"/>
    <x v="1"/>
  </r>
  <r>
    <x v="18"/>
    <s v="SID"/>
    <x v="0"/>
    <x v="2"/>
    <x v="5"/>
    <n v="3057"/>
    <x v="1"/>
  </r>
  <r>
    <x v="18"/>
    <s v="SID"/>
    <x v="0"/>
    <x v="3"/>
    <x v="4"/>
    <n v="3054"/>
    <x v="1"/>
  </r>
  <r>
    <x v="18"/>
    <s v="SID"/>
    <x v="0"/>
    <x v="3"/>
    <x v="5"/>
    <n v="3332"/>
    <x v="1"/>
  </r>
  <r>
    <x v="18"/>
    <s v="SID"/>
    <x v="1"/>
    <x v="0"/>
    <x v="4"/>
    <n v="22"/>
    <x v="1"/>
  </r>
  <r>
    <x v="18"/>
    <s v="SID"/>
    <x v="1"/>
    <x v="0"/>
    <x v="5"/>
    <n v="120"/>
    <x v="1"/>
  </r>
  <r>
    <x v="18"/>
    <s v="SID"/>
    <x v="1"/>
    <x v="1"/>
    <x v="4"/>
    <n v="73"/>
    <x v="1"/>
  </r>
  <r>
    <x v="18"/>
    <s v="SID"/>
    <x v="1"/>
    <x v="1"/>
    <x v="5"/>
    <n v="146"/>
    <x v="1"/>
  </r>
  <r>
    <x v="18"/>
    <s v="SID"/>
    <x v="1"/>
    <x v="2"/>
    <x v="4"/>
    <n v="74"/>
    <x v="1"/>
  </r>
  <r>
    <x v="18"/>
    <s v="SID"/>
    <x v="1"/>
    <x v="2"/>
    <x v="5"/>
    <n v="123"/>
    <x v="1"/>
  </r>
  <r>
    <x v="18"/>
    <s v="SID"/>
    <x v="1"/>
    <x v="3"/>
    <x v="4"/>
    <n v="100"/>
    <x v="1"/>
  </r>
  <r>
    <x v="18"/>
    <s v="SID"/>
    <x v="1"/>
    <x v="3"/>
    <x v="5"/>
    <n v="177"/>
    <x v="1"/>
  </r>
  <r>
    <x v="18"/>
    <s v="SID"/>
    <x v="2"/>
    <x v="0"/>
    <x v="4"/>
    <n v="-816"/>
    <x v="1"/>
  </r>
  <r>
    <x v="18"/>
    <s v="SID"/>
    <x v="2"/>
    <x v="0"/>
    <x v="5"/>
    <n v="-852"/>
    <x v="1"/>
  </r>
  <r>
    <x v="18"/>
    <s v="SID"/>
    <x v="2"/>
    <x v="1"/>
    <x v="4"/>
    <n v="-778"/>
    <x v="1"/>
  </r>
  <r>
    <x v="18"/>
    <s v="SID"/>
    <x v="2"/>
    <x v="1"/>
    <x v="5"/>
    <n v="-768"/>
    <x v="1"/>
  </r>
  <r>
    <x v="18"/>
    <s v="SID"/>
    <x v="2"/>
    <x v="2"/>
    <x v="4"/>
    <n v="-532"/>
    <x v="1"/>
  </r>
  <r>
    <x v="18"/>
    <s v="SID"/>
    <x v="2"/>
    <x v="2"/>
    <x v="5"/>
    <n v="-722"/>
    <x v="1"/>
  </r>
  <r>
    <x v="18"/>
    <s v="SID"/>
    <x v="2"/>
    <x v="3"/>
    <x v="4"/>
    <n v="-341"/>
    <x v="1"/>
  </r>
  <r>
    <x v="18"/>
    <s v="SID"/>
    <x v="2"/>
    <x v="3"/>
    <x v="5"/>
    <n v="-400"/>
    <x v="1"/>
  </r>
  <r>
    <x v="19"/>
    <s v="TGC"/>
    <x v="0"/>
    <x v="0"/>
    <x v="4"/>
    <n v="2250"/>
    <x v="1"/>
  </r>
  <r>
    <x v="19"/>
    <s v="TGC"/>
    <x v="0"/>
    <x v="0"/>
    <x v="5"/>
    <n v="2812"/>
    <x v="1"/>
  </r>
  <r>
    <x v="19"/>
    <s v="TGC"/>
    <x v="0"/>
    <x v="1"/>
    <x v="4"/>
    <n v="2913"/>
    <x v="1"/>
  </r>
  <r>
    <x v="19"/>
    <s v="TGC"/>
    <x v="0"/>
    <x v="1"/>
    <x v="5"/>
    <n v="4192"/>
    <x v="1"/>
  </r>
  <r>
    <x v="19"/>
    <s v="TGC"/>
    <x v="0"/>
    <x v="2"/>
    <x v="4"/>
    <n v="3786"/>
    <x v="1"/>
  </r>
  <r>
    <x v="19"/>
    <s v="TGC"/>
    <x v="0"/>
    <x v="2"/>
    <x v="5"/>
    <n v="4261"/>
    <x v="1"/>
  </r>
  <r>
    <x v="19"/>
    <s v="TGC"/>
    <x v="0"/>
    <x v="3"/>
    <x v="4"/>
    <n v="4969"/>
    <x v="1"/>
  </r>
  <r>
    <x v="19"/>
    <s v="TGC"/>
    <x v="0"/>
    <x v="3"/>
    <x v="5"/>
    <n v="6863"/>
    <x v="1"/>
  </r>
  <r>
    <x v="19"/>
    <s v="TGC"/>
    <x v="1"/>
    <x v="0"/>
    <x v="4"/>
    <n v="40"/>
    <x v="1"/>
  </r>
  <r>
    <x v="19"/>
    <s v="TGC"/>
    <x v="1"/>
    <x v="0"/>
    <x v="5"/>
    <n v="84"/>
    <x v="1"/>
  </r>
  <r>
    <x v="19"/>
    <s v="TGC"/>
    <x v="1"/>
    <x v="1"/>
    <x v="4"/>
    <n v="167"/>
    <x v="1"/>
  </r>
  <r>
    <x v="19"/>
    <s v="TGC"/>
    <x v="1"/>
    <x v="1"/>
    <x v="5"/>
    <n v="140"/>
    <x v="1"/>
  </r>
  <r>
    <x v="19"/>
    <s v="TGC"/>
    <x v="1"/>
    <x v="2"/>
    <x v="4"/>
    <n v="78"/>
    <x v="1"/>
  </r>
  <r>
    <x v="19"/>
    <s v="TGC"/>
    <x v="1"/>
    <x v="2"/>
    <x v="5"/>
    <n v="95"/>
    <x v="1"/>
  </r>
  <r>
    <x v="19"/>
    <s v="TGC"/>
    <x v="1"/>
    <x v="3"/>
    <x v="4"/>
    <n v="206"/>
    <x v="1"/>
  </r>
  <r>
    <x v="19"/>
    <s v="TGC"/>
    <x v="1"/>
    <x v="3"/>
    <x v="5"/>
    <n v="403"/>
    <x v="1"/>
  </r>
  <r>
    <x v="19"/>
    <s v="TGC"/>
    <x v="2"/>
    <x v="0"/>
    <x v="4"/>
    <n v="907"/>
    <x v="1"/>
  </r>
  <r>
    <x v="19"/>
    <s v="TGC"/>
    <x v="2"/>
    <x v="0"/>
    <x v="5"/>
    <n v="664"/>
    <x v="1"/>
  </r>
  <r>
    <x v="19"/>
    <s v="TGC"/>
    <x v="2"/>
    <x v="1"/>
    <x v="4"/>
    <n v="798"/>
    <x v="1"/>
  </r>
  <r>
    <x v="19"/>
    <s v="TGC"/>
    <x v="2"/>
    <x v="1"/>
    <x v="5"/>
    <n v="979"/>
    <x v="1"/>
  </r>
  <r>
    <x v="19"/>
    <s v="TGC"/>
    <x v="2"/>
    <x v="2"/>
    <x v="4"/>
    <n v="-1135"/>
    <x v="1"/>
  </r>
  <r>
    <x v="19"/>
    <s v="TGC"/>
    <x v="2"/>
    <x v="2"/>
    <x v="5"/>
    <n v="675"/>
    <x v="1"/>
  </r>
  <r>
    <x v="19"/>
    <s v="TGC"/>
    <x v="2"/>
    <x v="3"/>
    <x v="4"/>
    <n v="3062"/>
    <x v="1"/>
  </r>
  <r>
    <x v="19"/>
    <s v="TGC"/>
    <x v="2"/>
    <x v="3"/>
    <x v="5"/>
    <n v="610"/>
    <x v="1"/>
  </r>
  <r>
    <x v="20"/>
    <s v="GTM"/>
    <x v="0"/>
    <x v="3"/>
    <x v="4"/>
    <n v="0"/>
    <x v="1"/>
  </r>
  <r>
    <x v="20"/>
    <s v="GTM"/>
    <x v="1"/>
    <x v="3"/>
    <x v="4"/>
    <n v="0"/>
    <x v="1"/>
  </r>
  <r>
    <x v="20"/>
    <s v="GTM"/>
    <x v="2"/>
    <x v="3"/>
    <x v="4"/>
    <n v="0"/>
    <x v="1"/>
  </r>
  <r>
    <x v="20"/>
    <s v="GTM"/>
    <x v="2"/>
    <x v="3"/>
    <x v="5"/>
    <n v="156"/>
    <x v="1"/>
  </r>
  <r>
    <x v="21"/>
    <s v="LBV"/>
    <x v="0"/>
    <x v="0"/>
    <x v="4"/>
    <n v="6201"/>
    <x v="1"/>
  </r>
  <r>
    <x v="21"/>
    <s v="LBV"/>
    <x v="0"/>
    <x v="0"/>
    <x v="5"/>
    <n v="7746"/>
    <x v="1"/>
  </r>
  <r>
    <x v="21"/>
    <s v="LBV"/>
    <x v="0"/>
    <x v="1"/>
    <x v="4"/>
    <n v="7533"/>
    <x v="1"/>
  </r>
  <r>
    <x v="21"/>
    <s v="LBV"/>
    <x v="0"/>
    <x v="1"/>
    <x v="5"/>
    <n v="8267"/>
    <x v="1"/>
  </r>
  <r>
    <x v="21"/>
    <s v="LBV"/>
    <x v="0"/>
    <x v="2"/>
    <x v="4"/>
    <n v="7783"/>
    <x v="1"/>
  </r>
  <r>
    <x v="21"/>
    <s v="LBV"/>
    <x v="0"/>
    <x v="2"/>
    <x v="5"/>
    <n v="8635"/>
    <x v="1"/>
  </r>
  <r>
    <x v="21"/>
    <s v="LBV"/>
    <x v="0"/>
    <x v="3"/>
    <x v="4"/>
    <n v="8727"/>
    <x v="1"/>
  </r>
  <r>
    <x v="21"/>
    <s v="LBV"/>
    <x v="0"/>
    <x v="3"/>
    <x v="5"/>
    <n v="9807"/>
    <x v="1"/>
  </r>
  <r>
    <x v="21"/>
    <s v="LBV"/>
    <x v="1"/>
    <x v="0"/>
    <x v="4"/>
    <n v="518"/>
    <x v="1"/>
  </r>
  <r>
    <x v="21"/>
    <s v="LBV"/>
    <x v="1"/>
    <x v="0"/>
    <x v="5"/>
    <n v="655"/>
    <x v="1"/>
  </r>
  <r>
    <x v="21"/>
    <s v="LBV"/>
    <x v="1"/>
    <x v="1"/>
    <x v="4"/>
    <n v="582"/>
    <x v="1"/>
  </r>
  <r>
    <x v="21"/>
    <s v="LBV"/>
    <x v="1"/>
    <x v="1"/>
    <x v="5"/>
    <n v="637"/>
    <x v="1"/>
  </r>
  <r>
    <x v="21"/>
    <s v="LBV"/>
    <x v="1"/>
    <x v="2"/>
    <x v="4"/>
    <n v="106"/>
    <x v="1"/>
  </r>
  <r>
    <x v="21"/>
    <s v="LBV"/>
    <x v="1"/>
    <x v="2"/>
    <x v="5"/>
    <n v="804"/>
    <x v="1"/>
  </r>
  <r>
    <x v="21"/>
    <s v="LBV"/>
    <x v="1"/>
    <x v="3"/>
    <x v="4"/>
    <n v="751"/>
    <x v="1"/>
  </r>
  <r>
    <x v="21"/>
    <s v="LBV"/>
    <x v="1"/>
    <x v="3"/>
    <x v="5"/>
    <n v="455"/>
    <x v="1"/>
  </r>
  <r>
    <x v="21"/>
    <s v="LBV"/>
    <x v="2"/>
    <x v="0"/>
    <x v="4"/>
    <n v="3131"/>
    <x v="1"/>
  </r>
  <r>
    <x v="21"/>
    <s v="LBV"/>
    <x v="2"/>
    <x v="0"/>
    <x v="5"/>
    <n v="3176"/>
    <x v="1"/>
  </r>
  <r>
    <x v="21"/>
    <s v="LBV"/>
    <x v="2"/>
    <x v="1"/>
    <x v="4"/>
    <n v="3455"/>
    <x v="1"/>
  </r>
  <r>
    <x v="21"/>
    <s v="LBV"/>
    <x v="2"/>
    <x v="1"/>
    <x v="5"/>
    <n v="3789"/>
    <x v="1"/>
  </r>
  <r>
    <x v="21"/>
    <s v="LBV"/>
    <x v="2"/>
    <x v="2"/>
    <x v="4"/>
    <n v="3869"/>
    <x v="1"/>
  </r>
  <r>
    <x v="21"/>
    <s v="LBV"/>
    <x v="2"/>
    <x v="2"/>
    <x v="5"/>
    <n v="3973"/>
    <x v="1"/>
  </r>
  <r>
    <x v="21"/>
    <s v="LBV"/>
    <x v="2"/>
    <x v="3"/>
    <x v="4"/>
    <n v="4114"/>
    <x v="1"/>
  </r>
  <r>
    <x v="21"/>
    <s v="LBV"/>
    <x v="2"/>
    <x v="3"/>
    <x v="5"/>
    <n v="4606"/>
    <x v="1"/>
  </r>
  <r>
    <x v="22"/>
    <s v="TQM"/>
    <x v="0"/>
    <x v="0"/>
    <x v="4"/>
    <n v="5907"/>
    <x v="1"/>
  </r>
  <r>
    <x v="22"/>
    <s v="TQM"/>
    <x v="0"/>
    <x v="0"/>
    <x v="5"/>
    <n v="7698"/>
    <x v="1"/>
  </r>
  <r>
    <x v="22"/>
    <s v="TQM"/>
    <x v="0"/>
    <x v="1"/>
    <x v="4"/>
    <n v="7449"/>
    <x v="1"/>
  </r>
  <r>
    <x v="22"/>
    <s v="TQM"/>
    <x v="0"/>
    <x v="1"/>
    <x v="5"/>
    <n v="5743"/>
    <x v="1"/>
  </r>
  <r>
    <x v="22"/>
    <s v="TQM"/>
    <x v="0"/>
    <x v="2"/>
    <x v="4"/>
    <n v="5651"/>
    <x v="1"/>
  </r>
  <r>
    <x v="22"/>
    <s v="TQM"/>
    <x v="0"/>
    <x v="2"/>
    <x v="5"/>
    <n v="5227"/>
    <x v="1"/>
  </r>
  <r>
    <x v="22"/>
    <s v="TQM"/>
    <x v="0"/>
    <x v="3"/>
    <x v="4"/>
    <n v="5380"/>
    <x v="1"/>
  </r>
  <r>
    <x v="22"/>
    <s v="TQM"/>
    <x v="0"/>
    <x v="3"/>
    <x v="5"/>
    <n v="5258"/>
    <x v="1"/>
  </r>
  <r>
    <x v="22"/>
    <s v="TQM"/>
    <x v="1"/>
    <x v="0"/>
    <x v="4"/>
    <n v="98"/>
    <x v="1"/>
  </r>
  <r>
    <x v="22"/>
    <s v="TQM"/>
    <x v="1"/>
    <x v="0"/>
    <x v="5"/>
    <n v="144"/>
    <x v="1"/>
  </r>
  <r>
    <x v="22"/>
    <s v="TQM"/>
    <x v="1"/>
    <x v="1"/>
    <x v="4"/>
    <n v="21"/>
    <x v="1"/>
  </r>
  <r>
    <x v="22"/>
    <s v="TQM"/>
    <x v="1"/>
    <x v="1"/>
    <x v="5"/>
    <n v="322"/>
    <x v="1"/>
  </r>
  <r>
    <x v="22"/>
    <s v="TQM"/>
    <x v="1"/>
    <x v="2"/>
    <x v="4"/>
    <n v="71"/>
    <x v="1"/>
  </r>
  <r>
    <x v="22"/>
    <s v="TQM"/>
    <x v="1"/>
    <x v="2"/>
    <x v="5"/>
    <n v="222"/>
    <x v="1"/>
  </r>
  <r>
    <x v="22"/>
    <s v="TQM"/>
    <x v="1"/>
    <x v="3"/>
    <x v="4"/>
    <n v="209"/>
    <x v="1"/>
  </r>
  <r>
    <x v="22"/>
    <s v="TQM"/>
    <x v="1"/>
    <x v="3"/>
    <x v="5"/>
    <n v="55"/>
    <x v="1"/>
  </r>
  <r>
    <x v="22"/>
    <s v="TQM"/>
    <x v="2"/>
    <x v="0"/>
    <x v="4"/>
    <n v="6868"/>
    <x v="1"/>
  </r>
  <r>
    <x v="22"/>
    <s v="TQM"/>
    <x v="2"/>
    <x v="0"/>
    <x v="5"/>
    <n v="6171"/>
    <x v="1"/>
  </r>
  <r>
    <x v="22"/>
    <s v="TQM"/>
    <x v="2"/>
    <x v="1"/>
    <x v="4"/>
    <n v="4420"/>
    <x v="1"/>
  </r>
  <r>
    <x v="22"/>
    <s v="TQM"/>
    <x v="2"/>
    <x v="1"/>
    <x v="5"/>
    <n v="5522"/>
    <x v="1"/>
  </r>
  <r>
    <x v="22"/>
    <s v="TQM"/>
    <x v="2"/>
    <x v="2"/>
    <x v="4"/>
    <n v="6592"/>
    <x v="1"/>
  </r>
  <r>
    <x v="22"/>
    <s v="TQM"/>
    <x v="2"/>
    <x v="2"/>
    <x v="5"/>
    <n v="5582"/>
    <x v="1"/>
  </r>
  <r>
    <x v="22"/>
    <s v="TQM"/>
    <x v="2"/>
    <x v="3"/>
    <x v="4"/>
    <n v="5140"/>
    <x v="1"/>
  </r>
  <r>
    <x v="22"/>
    <s v="TQM"/>
    <x v="2"/>
    <x v="3"/>
    <x v="5"/>
    <n v="5293"/>
    <x v="1"/>
  </r>
  <r>
    <x v="23"/>
    <s v="GAZ"/>
    <x v="0"/>
    <x v="0"/>
    <x v="4"/>
    <n v="5227"/>
    <x v="1"/>
  </r>
  <r>
    <x v="23"/>
    <s v="GAZ"/>
    <x v="0"/>
    <x v="0"/>
    <x v="5"/>
    <n v="4283"/>
    <x v="1"/>
  </r>
  <r>
    <x v="23"/>
    <s v="GAZ"/>
    <x v="0"/>
    <x v="1"/>
    <x v="4"/>
    <n v="4432"/>
    <x v="1"/>
  </r>
  <r>
    <x v="23"/>
    <s v="GAZ"/>
    <x v="0"/>
    <x v="1"/>
    <x v="5"/>
    <n v="3825"/>
    <x v="1"/>
  </r>
  <r>
    <x v="23"/>
    <s v="GAZ"/>
    <x v="0"/>
    <x v="2"/>
    <x v="4"/>
    <n v="4229"/>
    <x v="1"/>
  </r>
  <r>
    <x v="23"/>
    <s v="GAZ"/>
    <x v="0"/>
    <x v="2"/>
    <x v="5"/>
    <n v="4544"/>
    <x v="1"/>
  </r>
  <r>
    <x v="23"/>
    <s v="GAZ"/>
    <x v="0"/>
    <x v="3"/>
    <x v="4"/>
    <n v="4700"/>
    <x v="1"/>
  </r>
  <r>
    <x v="23"/>
    <s v="GAZ"/>
    <x v="0"/>
    <x v="3"/>
    <x v="5"/>
    <n v="4289"/>
    <x v="1"/>
  </r>
  <r>
    <x v="23"/>
    <s v="GAZ"/>
    <x v="1"/>
    <x v="0"/>
    <x v="4"/>
    <n v="241"/>
    <x v="1"/>
  </r>
  <r>
    <x v="23"/>
    <s v="GAZ"/>
    <x v="1"/>
    <x v="0"/>
    <x v="5"/>
    <n v="256"/>
    <x v="1"/>
  </r>
  <r>
    <x v="23"/>
    <s v="GAZ"/>
    <x v="1"/>
    <x v="1"/>
    <x v="4"/>
    <n v="119"/>
    <x v="1"/>
  </r>
  <r>
    <x v="23"/>
    <s v="GAZ"/>
    <x v="1"/>
    <x v="1"/>
    <x v="5"/>
    <n v="236"/>
    <x v="1"/>
  </r>
  <r>
    <x v="23"/>
    <s v="GAZ"/>
    <x v="1"/>
    <x v="2"/>
    <x v="4"/>
    <n v="272"/>
    <x v="1"/>
  </r>
  <r>
    <x v="23"/>
    <s v="GAZ"/>
    <x v="1"/>
    <x v="2"/>
    <x v="5"/>
    <n v="263"/>
    <x v="1"/>
  </r>
  <r>
    <x v="23"/>
    <s v="GAZ"/>
    <x v="1"/>
    <x v="3"/>
    <x v="4"/>
    <n v="213"/>
    <x v="1"/>
  </r>
  <r>
    <x v="23"/>
    <s v="GAZ"/>
    <x v="1"/>
    <x v="3"/>
    <x v="5"/>
    <n v="307"/>
    <x v="1"/>
  </r>
  <r>
    <x v="23"/>
    <s v="GAZ"/>
    <x v="2"/>
    <x v="0"/>
    <x v="4"/>
    <n v="-38"/>
    <x v="1"/>
  </r>
  <r>
    <x v="23"/>
    <s v="GAZ"/>
    <x v="2"/>
    <x v="0"/>
    <x v="5"/>
    <n v="732"/>
    <x v="1"/>
  </r>
  <r>
    <x v="23"/>
    <s v="GAZ"/>
    <x v="2"/>
    <x v="1"/>
    <x v="4"/>
    <n v="-949"/>
    <x v="1"/>
  </r>
  <r>
    <x v="23"/>
    <s v="GAZ"/>
    <x v="2"/>
    <x v="1"/>
    <x v="5"/>
    <n v="124"/>
    <x v="1"/>
  </r>
  <r>
    <x v="23"/>
    <s v="GAZ"/>
    <x v="2"/>
    <x v="2"/>
    <x v="4"/>
    <n v="692"/>
    <x v="1"/>
  </r>
  <r>
    <x v="23"/>
    <s v="GAZ"/>
    <x v="2"/>
    <x v="2"/>
    <x v="5"/>
    <n v="216"/>
    <x v="1"/>
  </r>
  <r>
    <x v="23"/>
    <s v="GAZ"/>
    <x v="2"/>
    <x v="3"/>
    <x v="4"/>
    <n v="823"/>
    <x v="1"/>
  </r>
  <r>
    <x v="23"/>
    <s v="GAZ"/>
    <x v="2"/>
    <x v="3"/>
    <x v="5"/>
    <n v="474"/>
    <x v="1"/>
  </r>
  <r>
    <x v="24"/>
    <s v="TMA"/>
    <x v="0"/>
    <x v="0"/>
    <x v="4"/>
    <n v="9508"/>
    <x v="1"/>
  </r>
  <r>
    <x v="24"/>
    <s v="TMA"/>
    <x v="0"/>
    <x v="0"/>
    <x v="5"/>
    <n v="10210"/>
    <x v="1"/>
  </r>
  <r>
    <x v="24"/>
    <s v="TMA"/>
    <x v="0"/>
    <x v="1"/>
    <x v="4"/>
    <n v="8263"/>
    <x v="1"/>
  </r>
  <r>
    <x v="24"/>
    <s v="TMA"/>
    <x v="0"/>
    <x v="1"/>
    <x v="5"/>
    <n v="8670"/>
    <x v="1"/>
  </r>
  <r>
    <x v="24"/>
    <s v="TMA"/>
    <x v="0"/>
    <x v="2"/>
    <x v="4"/>
    <n v="8462"/>
    <x v="1"/>
  </r>
  <r>
    <x v="24"/>
    <s v="TMA"/>
    <x v="0"/>
    <x v="2"/>
    <x v="5"/>
    <n v="8289"/>
    <x v="1"/>
  </r>
  <r>
    <x v="24"/>
    <s v="TMA"/>
    <x v="0"/>
    <x v="3"/>
    <x v="4"/>
    <n v="7544"/>
    <x v="1"/>
  </r>
  <r>
    <x v="24"/>
    <s v="TMA"/>
    <x v="0"/>
    <x v="3"/>
    <x v="5"/>
    <n v="7582"/>
    <x v="1"/>
  </r>
  <r>
    <x v="24"/>
    <s v="TMA"/>
    <x v="2"/>
    <x v="0"/>
    <x v="4"/>
    <n v="-45"/>
    <x v="1"/>
  </r>
  <r>
    <x v="24"/>
    <s v="TMA"/>
    <x v="2"/>
    <x v="0"/>
    <x v="5"/>
    <n v="478"/>
    <x v="1"/>
  </r>
  <r>
    <x v="24"/>
    <s v="TMA"/>
    <x v="2"/>
    <x v="1"/>
    <x v="4"/>
    <n v="-273"/>
    <x v="1"/>
  </r>
  <r>
    <x v="24"/>
    <s v="TMA"/>
    <x v="2"/>
    <x v="1"/>
    <x v="5"/>
    <n v="-223"/>
    <x v="1"/>
  </r>
  <r>
    <x v="24"/>
    <s v="TMA"/>
    <x v="2"/>
    <x v="2"/>
    <x v="4"/>
    <n v="-82"/>
    <x v="1"/>
  </r>
  <r>
    <x v="24"/>
    <s v="TMA"/>
    <x v="2"/>
    <x v="2"/>
    <x v="5"/>
    <n v="-546"/>
    <x v="1"/>
  </r>
  <r>
    <x v="24"/>
    <s v="TMA"/>
    <x v="2"/>
    <x v="3"/>
    <x v="4"/>
    <n v="-178"/>
    <x v="1"/>
  </r>
  <r>
    <x v="24"/>
    <s v="TMA"/>
    <x v="2"/>
    <x v="3"/>
    <x v="5"/>
    <n v="-408"/>
    <x v="1"/>
  </r>
  <r>
    <x v="25"/>
    <s v="DHO"/>
    <x v="0"/>
    <x v="0"/>
    <x v="4"/>
    <n v="1268"/>
    <x v="1"/>
  </r>
  <r>
    <x v="25"/>
    <s v="DHO"/>
    <x v="0"/>
    <x v="0"/>
    <x v="5"/>
    <n v="1524"/>
    <x v="1"/>
  </r>
  <r>
    <x v="25"/>
    <s v="DHO"/>
    <x v="0"/>
    <x v="1"/>
    <x v="4"/>
    <n v="1323"/>
    <x v="1"/>
  </r>
  <r>
    <x v="25"/>
    <s v="DHO"/>
    <x v="0"/>
    <x v="1"/>
    <x v="5"/>
    <n v="1800"/>
    <x v="1"/>
  </r>
  <r>
    <x v="25"/>
    <s v="DHO"/>
    <x v="0"/>
    <x v="2"/>
    <x v="4"/>
    <n v="1375"/>
    <x v="1"/>
  </r>
  <r>
    <x v="25"/>
    <s v="DHO"/>
    <x v="0"/>
    <x v="2"/>
    <x v="5"/>
    <n v="1742"/>
    <x v="1"/>
  </r>
  <r>
    <x v="25"/>
    <s v="DHO"/>
    <x v="0"/>
    <x v="3"/>
    <x v="4"/>
    <n v="1334"/>
    <x v="1"/>
  </r>
  <r>
    <x v="25"/>
    <s v="DHO"/>
    <x v="0"/>
    <x v="3"/>
    <x v="5"/>
    <n v="1721"/>
    <x v="1"/>
  </r>
  <r>
    <x v="25"/>
    <s v="DHO"/>
    <x v="1"/>
    <x v="0"/>
    <x v="4"/>
    <n v="35"/>
    <x v="1"/>
  </r>
  <r>
    <x v="25"/>
    <s v="DHO"/>
    <x v="1"/>
    <x v="0"/>
    <x v="5"/>
    <n v="24"/>
    <x v="1"/>
  </r>
  <r>
    <x v="25"/>
    <s v="DHO"/>
    <x v="1"/>
    <x v="1"/>
    <x v="4"/>
    <n v="39"/>
    <x v="1"/>
  </r>
  <r>
    <x v="25"/>
    <s v="DHO"/>
    <x v="1"/>
    <x v="1"/>
    <x v="5"/>
    <n v="50"/>
    <x v="1"/>
  </r>
  <r>
    <x v="25"/>
    <s v="DHO"/>
    <x v="1"/>
    <x v="2"/>
    <x v="4"/>
    <n v="47"/>
    <x v="1"/>
  </r>
  <r>
    <x v="25"/>
    <s v="DHO"/>
    <x v="1"/>
    <x v="2"/>
    <x v="5"/>
    <n v="43"/>
    <x v="1"/>
  </r>
  <r>
    <x v="25"/>
    <s v="DHO"/>
    <x v="1"/>
    <x v="3"/>
    <x v="4"/>
    <n v="81"/>
    <x v="1"/>
  </r>
  <r>
    <x v="25"/>
    <s v="DHO"/>
    <x v="1"/>
    <x v="3"/>
    <x v="5"/>
    <n v="44"/>
    <x v="1"/>
  </r>
  <r>
    <x v="25"/>
    <s v="DHO"/>
    <x v="2"/>
    <x v="0"/>
    <x v="4"/>
    <n v="277"/>
    <x v="1"/>
  </r>
  <r>
    <x v="25"/>
    <s v="DHO"/>
    <x v="2"/>
    <x v="0"/>
    <x v="5"/>
    <n v="386"/>
    <x v="1"/>
  </r>
  <r>
    <x v="25"/>
    <s v="DHO"/>
    <x v="2"/>
    <x v="1"/>
    <x v="4"/>
    <n v="318"/>
    <x v="1"/>
  </r>
  <r>
    <x v="25"/>
    <s v="DHO"/>
    <x v="2"/>
    <x v="1"/>
    <x v="5"/>
    <n v="103"/>
    <x v="1"/>
  </r>
  <r>
    <x v="25"/>
    <s v="DHO"/>
    <x v="2"/>
    <x v="2"/>
    <x v="4"/>
    <n v="-108"/>
    <x v="1"/>
  </r>
  <r>
    <x v="25"/>
    <s v="DHO"/>
    <x v="2"/>
    <x v="2"/>
    <x v="5"/>
    <n v="-234"/>
    <x v="1"/>
  </r>
  <r>
    <x v="25"/>
    <s v="DHO"/>
    <x v="2"/>
    <x v="3"/>
    <x v="4"/>
    <n v="-169"/>
    <x v="1"/>
  </r>
  <r>
    <x v="25"/>
    <s v="DHO"/>
    <x v="2"/>
    <x v="3"/>
    <x v="5"/>
    <n v="-446"/>
    <x v="1"/>
  </r>
  <r>
    <x v="26"/>
    <s v="RIS"/>
    <x v="0"/>
    <x v="0"/>
    <x v="4"/>
    <n v="426"/>
    <x v="1"/>
  </r>
  <r>
    <x v="26"/>
    <s v="RIS"/>
    <x v="0"/>
    <x v="0"/>
    <x v="5"/>
    <n v="610"/>
    <x v="1"/>
  </r>
  <r>
    <x v="26"/>
    <s v="RIS"/>
    <x v="0"/>
    <x v="1"/>
    <x v="4"/>
    <n v="593"/>
    <x v="1"/>
  </r>
  <r>
    <x v="26"/>
    <s v="RIS"/>
    <x v="0"/>
    <x v="1"/>
    <x v="5"/>
    <n v="581"/>
    <x v="1"/>
  </r>
  <r>
    <x v="26"/>
    <s v="RIS"/>
    <x v="0"/>
    <x v="2"/>
    <x v="4"/>
    <n v="597"/>
    <x v="1"/>
  </r>
  <r>
    <x v="26"/>
    <s v="RIS"/>
    <x v="0"/>
    <x v="2"/>
    <x v="5"/>
    <n v="667"/>
    <x v="1"/>
  </r>
  <r>
    <x v="26"/>
    <s v="RIS"/>
    <x v="0"/>
    <x v="3"/>
    <x v="4"/>
    <n v="653"/>
    <x v="1"/>
  </r>
  <r>
    <x v="26"/>
    <s v="RIS"/>
    <x v="0"/>
    <x v="3"/>
    <x v="5"/>
    <n v="820"/>
    <x v="1"/>
  </r>
  <r>
    <x v="26"/>
    <s v="RIS"/>
    <x v="1"/>
    <x v="0"/>
    <x v="4"/>
    <n v="39"/>
    <x v="1"/>
  </r>
  <r>
    <x v="26"/>
    <s v="RIS"/>
    <x v="1"/>
    <x v="0"/>
    <x v="5"/>
    <n v="54"/>
    <x v="1"/>
  </r>
  <r>
    <x v="26"/>
    <s v="RIS"/>
    <x v="1"/>
    <x v="1"/>
    <x v="4"/>
    <n v="69"/>
    <x v="1"/>
  </r>
  <r>
    <x v="26"/>
    <s v="RIS"/>
    <x v="1"/>
    <x v="1"/>
    <x v="5"/>
    <n v="99"/>
    <x v="1"/>
  </r>
  <r>
    <x v="26"/>
    <s v="RIS"/>
    <x v="1"/>
    <x v="2"/>
    <x v="4"/>
    <n v="55"/>
    <x v="1"/>
  </r>
  <r>
    <x v="26"/>
    <s v="RIS"/>
    <x v="1"/>
    <x v="2"/>
    <x v="5"/>
    <n v="79"/>
    <x v="1"/>
  </r>
  <r>
    <x v="26"/>
    <s v="RIS"/>
    <x v="1"/>
    <x v="3"/>
    <x v="4"/>
    <n v="258"/>
    <x v="1"/>
  </r>
  <r>
    <x v="26"/>
    <s v="RIS"/>
    <x v="1"/>
    <x v="3"/>
    <x v="5"/>
    <n v="672"/>
    <x v="1"/>
  </r>
  <r>
    <x v="26"/>
    <s v="RIS"/>
    <x v="2"/>
    <x v="0"/>
    <x v="4"/>
    <n v="1720"/>
    <x v="1"/>
  </r>
  <r>
    <x v="26"/>
    <s v="RIS"/>
    <x v="2"/>
    <x v="0"/>
    <x v="5"/>
    <n v="1443"/>
    <x v="1"/>
  </r>
  <r>
    <x v="26"/>
    <s v="RIS"/>
    <x v="2"/>
    <x v="1"/>
    <x v="4"/>
    <n v="1447"/>
    <x v="1"/>
  </r>
  <r>
    <x v="26"/>
    <s v="RIS"/>
    <x v="2"/>
    <x v="1"/>
    <x v="5"/>
    <n v="1328"/>
    <x v="1"/>
  </r>
  <r>
    <x v="26"/>
    <s v="RIS"/>
    <x v="2"/>
    <x v="2"/>
    <x v="4"/>
    <n v="1178"/>
    <x v="1"/>
  </r>
  <r>
    <x v="26"/>
    <s v="RIS"/>
    <x v="2"/>
    <x v="2"/>
    <x v="5"/>
    <n v="1086"/>
    <x v="1"/>
  </r>
  <r>
    <x v="26"/>
    <s v="RIS"/>
    <x v="2"/>
    <x v="3"/>
    <x v="4"/>
    <n v="1184"/>
    <x v="1"/>
  </r>
  <r>
    <x v="26"/>
    <s v="RIS"/>
    <x v="2"/>
    <x v="3"/>
    <x v="5"/>
    <n v="1968"/>
    <x v="1"/>
  </r>
  <r>
    <x v="27"/>
    <s v="CMG"/>
    <x v="0"/>
    <x v="1"/>
    <x v="5"/>
    <n v="577"/>
    <x v="1"/>
  </r>
  <r>
    <x v="27"/>
    <s v="CMG"/>
    <x v="0"/>
    <x v="2"/>
    <x v="4"/>
    <n v="1116"/>
    <x v="1"/>
  </r>
  <r>
    <x v="27"/>
    <s v="CMG"/>
    <x v="0"/>
    <x v="2"/>
    <x v="5"/>
    <n v="1211"/>
    <x v="1"/>
  </r>
  <r>
    <x v="27"/>
    <s v="CMG"/>
    <x v="0"/>
    <x v="3"/>
    <x v="4"/>
    <n v="1120"/>
    <x v="1"/>
  </r>
  <r>
    <x v="27"/>
    <s v="CMG"/>
    <x v="0"/>
    <x v="3"/>
    <x v="5"/>
    <n v="1367"/>
    <x v="1"/>
  </r>
  <r>
    <x v="27"/>
    <s v="CMG"/>
    <x v="1"/>
    <x v="1"/>
    <x v="5"/>
    <n v="24"/>
    <x v="1"/>
  </r>
  <r>
    <x v="27"/>
    <s v="CMG"/>
    <x v="1"/>
    <x v="2"/>
    <x v="4"/>
    <n v="68"/>
    <x v="1"/>
  </r>
  <r>
    <x v="27"/>
    <s v="CMG"/>
    <x v="1"/>
    <x v="2"/>
    <x v="5"/>
    <n v="40"/>
    <x v="1"/>
  </r>
  <r>
    <x v="27"/>
    <s v="CMG"/>
    <x v="1"/>
    <x v="3"/>
    <x v="4"/>
    <n v="22"/>
    <x v="1"/>
  </r>
  <r>
    <x v="27"/>
    <s v="CMG"/>
    <x v="1"/>
    <x v="3"/>
    <x v="5"/>
    <n v="953"/>
    <x v="1"/>
  </r>
  <r>
    <x v="27"/>
    <s v="CMG"/>
    <x v="2"/>
    <x v="1"/>
    <x v="5"/>
    <n v="568"/>
    <x v="1"/>
  </r>
  <r>
    <x v="27"/>
    <s v="CMG"/>
    <x v="2"/>
    <x v="2"/>
    <x v="4"/>
    <n v="0"/>
    <x v="1"/>
  </r>
  <r>
    <x v="27"/>
    <s v="CMG"/>
    <x v="2"/>
    <x v="2"/>
    <x v="5"/>
    <n v="0"/>
    <x v="1"/>
  </r>
  <r>
    <x v="27"/>
    <s v="CMG"/>
    <x v="2"/>
    <x v="3"/>
    <x v="4"/>
    <n v="-26"/>
    <x v="1"/>
  </r>
  <r>
    <x v="27"/>
    <s v="CMG"/>
    <x v="2"/>
    <x v="3"/>
    <x v="5"/>
    <n v="944"/>
    <x v="1"/>
  </r>
  <r>
    <x v="28"/>
    <s v="MSA"/>
    <x v="0"/>
    <x v="0"/>
    <x v="4"/>
    <n v="1993"/>
    <x v="1"/>
  </r>
  <r>
    <x v="28"/>
    <s v="MSA"/>
    <x v="0"/>
    <x v="0"/>
    <x v="5"/>
    <n v="1955"/>
    <x v="1"/>
  </r>
  <r>
    <x v="28"/>
    <s v="MSA"/>
    <x v="0"/>
    <x v="1"/>
    <x v="4"/>
    <n v="2119"/>
    <x v="1"/>
  </r>
  <r>
    <x v="28"/>
    <s v="MSA"/>
    <x v="0"/>
    <x v="1"/>
    <x v="5"/>
    <n v="2202"/>
    <x v="1"/>
  </r>
  <r>
    <x v="28"/>
    <s v="MSA"/>
    <x v="0"/>
    <x v="2"/>
    <x v="4"/>
    <n v="2482"/>
    <x v="1"/>
  </r>
  <r>
    <x v="28"/>
    <s v="MSA"/>
    <x v="0"/>
    <x v="2"/>
    <x v="5"/>
    <n v="2526"/>
    <x v="1"/>
  </r>
  <r>
    <x v="28"/>
    <s v="MSA"/>
    <x v="0"/>
    <x v="3"/>
    <x v="4"/>
    <n v="2866"/>
    <x v="1"/>
  </r>
  <r>
    <x v="28"/>
    <s v="MSA"/>
    <x v="0"/>
    <x v="3"/>
    <x v="5"/>
    <n v="2943"/>
    <x v="1"/>
  </r>
  <r>
    <x v="28"/>
    <s v="MSA"/>
    <x v="1"/>
    <x v="0"/>
    <x v="4"/>
    <n v="156"/>
    <x v="1"/>
  </r>
  <r>
    <x v="28"/>
    <s v="MSA"/>
    <x v="1"/>
    <x v="0"/>
    <x v="5"/>
    <n v="321"/>
    <x v="1"/>
  </r>
  <r>
    <x v="28"/>
    <s v="MSA"/>
    <x v="1"/>
    <x v="1"/>
    <x v="4"/>
    <n v="138"/>
    <x v="1"/>
  </r>
  <r>
    <x v="28"/>
    <s v="MSA"/>
    <x v="1"/>
    <x v="1"/>
    <x v="5"/>
    <n v="392"/>
    <x v="1"/>
  </r>
  <r>
    <x v="28"/>
    <s v="MSA"/>
    <x v="1"/>
    <x v="2"/>
    <x v="4"/>
    <n v="164"/>
    <x v="1"/>
  </r>
  <r>
    <x v="28"/>
    <s v="MSA"/>
    <x v="1"/>
    <x v="2"/>
    <x v="5"/>
    <n v="551"/>
    <x v="1"/>
  </r>
  <r>
    <x v="28"/>
    <s v="MSA"/>
    <x v="1"/>
    <x v="3"/>
    <x v="4"/>
    <n v="1293"/>
    <x v="1"/>
  </r>
  <r>
    <x v="28"/>
    <s v="MSA"/>
    <x v="1"/>
    <x v="3"/>
    <x v="5"/>
    <n v="1122"/>
    <x v="1"/>
  </r>
  <r>
    <x v="28"/>
    <s v="MSA"/>
    <x v="2"/>
    <x v="0"/>
    <x v="4"/>
    <n v="954"/>
    <x v="1"/>
  </r>
  <r>
    <x v="28"/>
    <s v="MSA"/>
    <x v="2"/>
    <x v="0"/>
    <x v="5"/>
    <n v="342"/>
    <x v="1"/>
  </r>
  <r>
    <x v="28"/>
    <s v="MSA"/>
    <x v="2"/>
    <x v="1"/>
    <x v="4"/>
    <n v="105"/>
    <x v="1"/>
  </r>
  <r>
    <x v="28"/>
    <s v="MSA"/>
    <x v="2"/>
    <x v="1"/>
    <x v="5"/>
    <n v="24"/>
    <x v="1"/>
  </r>
  <r>
    <x v="28"/>
    <s v="MSA"/>
    <x v="2"/>
    <x v="2"/>
    <x v="4"/>
    <n v="-647"/>
    <x v="1"/>
  </r>
  <r>
    <x v="28"/>
    <s v="MSA"/>
    <x v="2"/>
    <x v="2"/>
    <x v="5"/>
    <n v="-792"/>
    <x v="1"/>
  </r>
  <r>
    <x v="28"/>
    <s v="MSA"/>
    <x v="2"/>
    <x v="3"/>
    <x v="4"/>
    <n v="-492"/>
    <x v="1"/>
  </r>
  <r>
    <x v="28"/>
    <s v="MSA"/>
    <x v="2"/>
    <x v="3"/>
    <x v="5"/>
    <n v="-753"/>
    <x v="1"/>
  </r>
  <r>
    <x v="29"/>
    <s v="HPS"/>
    <x v="0"/>
    <x v="0"/>
    <x v="4"/>
    <n v="480"/>
    <x v="1"/>
  </r>
  <r>
    <x v="29"/>
    <s v="HPS"/>
    <x v="0"/>
    <x v="0"/>
    <x v="5"/>
    <n v="524"/>
    <x v="1"/>
  </r>
  <r>
    <x v="29"/>
    <s v="HPS"/>
    <x v="0"/>
    <x v="1"/>
    <x v="4"/>
    <n v="561"/>
    <x v="1"/>
  </r>
  <r>
    <x v="29"/>
    <s v="HPS"/>
    <x v="0"/>
    <x v="1"/>
    <x v="5"/>
    <n v="614"/>
    <x v="1"/>
  </r>
  <r>
    <x v="29"/>
    <s v="HPS"/>
    <x v="0"/>
    <x v="2"/>
    <x v="4"/>
    <n v="571"/>
    <x v="1"/>
  </r>
  <r>
    <x v="29"/>
    <s v="HPS"/>
    <x v="0"/>
    <x v="2"/>
    <x v="5"/>
    <n v="678"/>
    <x v="1"/>
  </r>
  <r>
    <x v="29"/>
    <s v="HPS"/>
    <x v="0"/>
    <x v="3"/>
    <x v="4"/>
    <n v="663"/>
    <x v="1"/>
  </r>
  <r>
    <x v="29"/>
    <s v="HPS"/>
    <x v="0"/>
    <x v="3"/>
    <x v="5"/>
    <n v="875"/>
    <x v="1"/>
  </r>
  <r>
    <x v="29"/>
    <s v="HPS"/>
    <x v="2"/>
    <x v="0"/>
    <x v="4"/>
    <n v="165"/>
    <x v="1"/>
  </r>
  <r>
    <x v="29"/>
    <s v="HPS"/>
    <x v="2"/>
    <x v="0"/>
    <x v="5"/>
    <n v="159"/>
    <x v="1"/>
  </r>
  <r>
    <x v="29"/>
    <s v="HPS"/>
    <x v="2"/>
    <x v="1"/>
    <x v="4"/>
    <n v="124"/>
    <x v="1"/>
  </r>
  <r>
    <x v="29"/>
    <s v="HPS"/>
    <x v="2"/>
    <x v="1"/>
    <x v="5"/>
    <n v="87"/>
    <x v="1"/>
  </r>
  <r>
    <x v="29"/>
    <s v="HPS"/>
    <x v="2"/>
    <x v="2"/>
    <x v="4"/>
    <n v="109"/>
    <x v="1"/>
  </r>
  <r>
    <x v="29"/>
    <s v="HPS"/>
    <x v="2"/>
    <x v="2"/>
    <x v="5"/>
    <n v="551"/>
    <x v="1"/>
  </r>
  <r>
    <x v="29"/>
    <s v="HPS"/>
    <x v="2"/>
    <x v="3"/>
    <x v="4"/>
    <n v="533"/>
    <x v="1"/>
  </r>
  <r>
    <x v="29"/>
    <s v="HPS"/>
    <x v="2"/>
    <x v="3"/>
    <x v="5"/>
    <n v="423"/>
    <x v="1"/>
  </r>
  <r>
    <x v="30"/>
    <s v="MNG"/>
    <x v="0"/>
    <x v="0"/>
    <x v="4"/>
    <n v="5466"/>
    <x v="1"/>
  </r>
  <r>
    <x v="30"/>
    <s v="MNG"/>
    <x v="0"/>
    <x v="0"/>
    <x v="5"/>
    <n v="4179"/>
    <x v="1"/>
  </r>
  <r>
    <x v="30"/>
    <s v="MNG"/>
    <x v="0"/>
    <x v="1"/>
    <x v="4"/>
    <n v="4182"/>
    <x v="1"/>
  </r>
  <r>
    <x v="30"/>
    <s v="MNG"/>
    <x v="0"/>
    <x v="1"/>
    <x v="5"/>
    <n v="3326"/>
    <x v="1"/>
  </r>
  <r>
    <x v="30"/>
    <s v="MNG"/>
    <x v="0"/>
    <x v="2"/>
    <x v="4"/>
    <n v="4408"/>
    <x v="1"/>
  </r>
  <r>
    <x v="30"/>
    <s v="MNG"/>
    <x v="0"/>
    <x v="2"/>
    <x v="5"/>
    <n v="4452"/>
    <x v="1"/>
  </r>
  <r>
    <x v="30"/>
    <s v="MNG"/>
    <x v="0"/>
    <x v="3"/>
    <x v="4"/>
    <n v="4422"/>
    <x v="1"/>
  </r>
  <r>
    <x v="30"/>
    <s v="MNG"/>
    <x v="0"/>
    <x v="3"/>
    <x v="5"/>
    <n v="5323"/>
    <x v="1"/>
  </r>
  <r>
    <x v="30"/>
    <s v="MNG"/>
    <x v="1"/>
    <x v="0"/>
    <x v="4"/>
    <n v="956"/>
    <x v="1"/>
  </r>
  <r>
    <x v="30"/>
    <s v="MNG"/>
    <x v="1"/>
    <x v="0"/>
    <x v="5"/>
    <n v="1218"/>
    <x v="1"/>
  </r>
  <r>
    <x v="30"/>
    <s v="MNG"/>
    <x v="1"/>
    <x v="1"/>
    <x v="4"/>
    <n v="1162"/>
    <x v="1"/>
  </r>
  <r>
    <x v="30"/>
    <s v="MNG"/>
    <x v="1"/>
    <x v="1"/>
    <x v="5"/>
    <n v="1590"/>
    <x v="1"/>
  </r>
  <r>
    <x v="30"/>
    <s v="MNG"/>
    <x v="1"/>
    <x v="2"/>
    <x v="4"/>
    <n v="2684"/>
    <x v="1"/>
  </r>
  <r>
    <x v="30"/>
    <s v="MNG"/>
    <x v="1"/>
    <x v="2"/>
    <x v="5"/>
    <n v="4568"/>
    <x v="1"/>
  </r>
  <r>
    <x v="30"/>
    <s v="MNG"/>
    <x v="1"/>
    <x v="3"/>
    <x v="4"/>
    <n v="2886"/>
    <x v="1"/>
  </r>
  <r>
    <x v="30"/>
    <s v="MNG"/>
    <x v="1"/>
    <x v="3"/>
    <x v="5"/>
    <n v="4473"/>
    <x v="1"/>
  </r>
  <r>
    <x v="30"/>
    <s v="MNG"/>
    <x v="2"/>
    <x v="0"/>
    <x v="4"/>
    <n v="4205"/>
    <x v="1"/>
  </r>
  <r>
    <x v="30"/>
    <s v="MNG"/>
    <x v="2"/>
    <x v="0"/>
    <x v="5"/>
    <n v="4347"/>
    <x v="1"/>
  </r>
  <r>
    <x v="30"/>
    <s v="MNG"/>
    <x v="2"/>
    <x v="1"/>
    <x v="4"/>
    <n v="6588"/>
    <x v="1"/>
  </r>
  <r>
    <x v="30"/>
    <s v="MNG"/>
    <x v="2"/>
    <x v="1"/>
    <x v="5"/>
    <n v="7588"/>
    <x v="1"/>
  </r>
  <r>
    <x v="30"/>
    <s v="MNG"/>
    <x v="2"/>
    <x v="2"/>
    <x v="4"/>
    <n v="7143"/>
    <x v="1"/>
  </r>
  <r>
    <x v="30"/>
    <s v="MNG"/>
    <x v="2"/>
    <x v="2"/>
    <x v="5"/>
    <n v="10272"/>
    <x v="1"/>
  </r>
  <r>
    <x v="30"/>
    <s v="MNG"/>
    <x v="2"/>
    <x v="3"/>
    <x v="4"/>
    <n v="14335"/>
    <x v="1"/>
  </r>
  <r>
    <x v="30"/>
    <s v="MNG"/>
    <x v="2"/>
    <x v="3"/>
    <x v="5"/>
    <n v="12674"/>
    <x v="1"/>
  </r>
  <r>
    <x v="31"/>
    <s v="CMT"/>
    <x v="0"/>
    <x v="0"/>
    <x v="4"/>
    <n v="213"/>
    <x v="1"/>
  </r>
  <r>
    <x v="31"/>
    <s v="CMT"/>
    <x v="0"/>
    <x v="0"/>
    <x v="5"/>
    <n v="376"/>
    <x v="1"/>
  </r>
  <r>
    <x v="31"/>
    <s v="CMT"/>
    <x v="0"/>
    <x v="1"/>
    <x v="4"/>
    <n v="275"/>
    <x v="1"/>
  </r>
  <r>
    <x v="31"/>
    <s v="CMT"/>
    <x v="0"/>
    <x v="1"/>
    <x v="5"/>
    <n v="315"/>
    <x v="1"/>
  </r>
  <r>
    <x v="31"/>
    <s v="CMT"/>
    <x v="0"/>
    <x v="2"/>
    <x v="4"/>
    <n v="281"/>
    <x v="1"/>
  </r>
  <r>
    <x v="31"/>
    <s v="CMT"/>
    <x v="0"/>
    <x v="2"/>
    <x v="5"/>
    <n v="305"/>
    <x v="1"/>
  </r>
  <r>
    <x v="31"/>
    <s v="CMT"/>
    <x v="0"/>
    <x v="3"/>
    <x v="4"/>
    <n v="342"/>
    <x v="1"/>
  </r>
  <r>
    <x v="31"/>
    <s v="CMT"/>
    <x v="0"/>
    <x v="3"/>
    <x v="5"/>
    <n v="348"/>
    <x v="1"/>
  </r>
  <r>
    <x v="31"/>
    <s v="CMT"/>
    <x v="1"/>
    <x v="0"/>
    <x v="4"/>
    <n v="55"/>
    <x v="1"/>
  </r>
  <r>
    <x v="31"/>
    <s v="CMT"/>
    <x v="1"/>
    <x v="0"/>
    <x v="5"/>
    <n v="37"/>
    <x v="1"/>
  </r>
  <r>
    <x v="31"/>
    <s v="CMT"/>
    <x v="1"/>
    <x v="1"/>
    <x v="4"/>
    <n v="53"/>
    <x v="1"/>
  </r>
  <r>
    <x v="31"/>
    <s v="CMT"/>
    <x v="1"/>
    <x v="1"/>
    <x v="5"/>
    <n v="54"/>
    <x v="1"/>
  </r>
  <r>
    <x v="31"/>
    <s v="CMT"/>
    <x v="1"/>
    <x v="2"/>
    <x v="4"/>
    <n v="54"/>
    <x v="1"/>
  </r>
  <r>
    <x v="31"/>
    <s v="CMT"/>
    <x v="1"/>
    <x v="2"/>
    <x v="5"/>
    <n v="49"/>
    <x v="1"/>
  </r>
  <r>
    <x v="31"/>
    <s v="CMT"/>
    <x v="1"/>
    <x v="3"/>
    <x v="4"/>
    <n v="27"/>
    <x v="1"/>
  </r>
  <r>
    <x v="31"/>
    <s v="CMT"/>
    <x v="1"/>
    <x v="3"/>
    <x v="5"/>
    <n v="35"/>
    <x v="1"/>
  </r>
  <r>
    <x v="31"/>
    <s v="CMT"/>
    <x v="2"/>
    <x v="0"/>
    <x v="4"/>
    <n v="310"/>
    <x v="1"/>
  </r>
  <r>
    <x v="31"/>
    <s v="CMT"/>
    <x v="2"/>
    <x v="0"/>
    <x v="5"/>
    <n v="282"/>
    <x v="1"/>
  </r>
  <r>
    <x v="31"/>
    <s v="CMT"/>
    <x v="2"/>
    <x v="1"/>
    <x v="4"/>
    <n v="194"/>
    <x v="1"/>
  </r>
  <r>
    <x v="31"/>
    <s v="CMT"/>
    <x v="2"/>
    <x v="1"/>
    <x v="5"/>
    <n v="400"/>
    <x v="1"/>
  </r>
  <r>
    <x v="31"/>
    <s v="CMT"/>
    <x v="2"/>
    <x v="2"/>
    <x v="4"/>
    <n v="319"/>
    <x v="1"/>
  </r>
  <r>
    <x v="31"/>
    <s v="CMT"/>
    <x v="2"/>
    <x v="2"/>
    <x v="5"/>
    <n v="231"/>
    <x v="1"/>
  </r>
  <r>
    <x v="31"/>
    <s v="CMT"/>
    <x v="2"/>
    <x v="3"/>
    <x v="4"/>
    <n v="141"/>
    <x v="1"/>
  </r>
  <r>
    <x v="31"/>
    <s v="CMT"/>
    <x v="2"/>
    <x v="3"/>
    <x v="5"/>
    <n v="70"/>
    <x v="1"/>
  </r>
  <r>
    <x v="32"/>
    <s v="SMI"/>
    <x v="0"/>
    <x v="0"/>
    <x v="4"/>
    <n v="419"/>
    <x v="1"/>
  </r>
  <r>
    <x v="32"/>
    <s v="SMI"/>
    <x v="0"/>
    <x v="0"/>
    <x v="5"/>
    <n v="379"/>
    <x v="1"/>
  </r>
  <r>
    <x v="32"/>
    <s v="SMI"/>
    <x v="0"/>
    <x v="1"/>
    <x v="4"/>
    <n v="532"/>
    <x v="1"/>
  </r>
  <r>
    <x v="32"/>
    <s v="SMI"/>
    <x v="0"/>
    <x v="1"/>
    <x v="5"/>
    <n v="534"/>
    <x v="1"/>
  </r>
  <r>
    <x v="32"/>
    <s v="SMI"/>
    <x v="0"/>
    <x v="2"/>
    <x v="4"/>
    <n v="571"/>
    <x v="1"/>
  </r>
  <r>
    <x v="32"/>
    <s v="SMI"/>
    <x v="0"/>
    <x v="2"/>
    <x v="5"/>
    <n v="482"/>
    <x v="1"/>
  </r>
  <r>
    <x v="32"/>
    <s v="SMI"/>
    <x v="0"/>
    <x v="3"/>
    <x v="4"/>
    <n v="628"/>
    <x v="1"/>
  </r>
  <r>
    <x v="32"/>
    <s v="SMI"/>
    <x v="0"/>
    <x v="3"/>
    <x v="5"/>
    <n v="581"/>
    <x v="1"/>
  </r>
  <r>
    <x v="32"/>
    <s v="SMI"/>
    <x v="1"/>
    <x v="0"/>
    <x v="4"/>
    <n v="103"/>
    <x v="1"/>
  </r>
  <r>
    <x v="32"/>
    <s v="SMI"/>
    <x v="1"/>
    <x v="0"/>
    <x v="5"/>
    <n v="118"/>
    <x v="1"/>
  </r>
  <r>
    <x v="32"/>
    <s v="SMI"/>
    <x v="1"/>
    <x v="1"/>
    <x v="4"/>
    <n v="89"/>
    <x v="1"/>
  </r>
  <r>
    <x v="32"/>
    <s v="SMI"/>
    <x v="1"/>
    <x v="1"/>
    <x v="5"/>
    <n v="86"/>
    <x v="1"/>
  </r>
  <r>
    <x v="32"/>
    <s v="SMI"/>
    <x v="1"/>
    <x v="2"/>
    <x v="4"/>
    <n v="92"/>
    <x v="1"/>
  </r>
  <r>
    <x v="32"/>
    <s v="SMI"/>
    <x v="1"/>
    <x v="2"/>
    <x v="5"/>
    <n v="121"/>
    <x v="1"/>
  </r>
  <r>
    <x v="32"/>
    <s v="SMI"/>
    <x v="1"/>
    <x v="3"/>
    <x v="4"/>
    <n v="98"/>
    <x v="1"/>
  </r>
  <r>
    <x v="32"/>
    <s v="SMI"/>
    <x v="1"/>
    <x v="3"/>
    <x v="5"/>
    <n v="129"/>
    <x v="1"/>
  </r>
  <r>
    <x v="32"/>
    <s v="SMI"/>
    <x v="2"/>
    <x v="0"/>
    <x v="4"/>
    <n v="-78"/>
    <x v="1"/>
  </r>
  <r>
    <x v="32"/>
    <s v="SMI"/>
    <x v="2"/>
    <x v="0"/>
    <x v="5"/>
    <n v="56"/>
    <x v="1"/>
  </r>
  <r>
    <x v="32"/>
    <s v="SMI"/>
    <x v="2"/>
    <x v="1"/>
    <x v="4"/>
    <n v="-66"/>
    <x v="1"/>
  </r>
  <r>
    <x v="32"/>
    <s v="SMI"/>
    <x v="2"/>
    <x v="1"/>
    <x v="5"/>
    <n v="-340"/>
    <x v="1"/>
  </r>
  <r>
    <x v="32"/>
    <s v="SMI"/>
    <x v="2"/>
    <x v="2"/>
    <x v="4"/>
    <n v="-229"/>
    <x v="1"/>
  </r>
  <r>
    <x v="32"/>
    <s v="SMI"/>
    <x v="2"/>
    <x v="2"/>
    <x v="5"/>
    <n v="-312"/>
    <x v="1"/>
  </r>
  <r>
    <x v="32"/>
    <s v="SMI"/>
    <x v="2"/>
    <x v="3"/>
    <x v="4"/>
    <n v="176"/>
    <x v="1"/>
  </r>
  <r>
    <x v="32"/>
    <s v="SMI"/>
    <x v="2"/>
    <x v="3"/>
    <x v="5"/>
    <n v="0"/>
    <x v="1"/>
  </r>
  <r>
    <x v="33"/>
    <s v="IAM"/>
    <x v="0"/>
    <x v="0"/>
    <x v="4"/>
    <n v="17568"/>
    <x v="1"/>
  </r>
  <r>
    <x v="33"/>
    <s v="IAM"/>
    <x v="0"/>
    <x v="0"/>
    <x v="5"/>
    <n v="18163"/>
    <x v="1"/>
  </r>
  <r>
    <x v="33"/>
    <s v="IAM"/>
    <x v="0"/>
    <x v="1"/>
    <x v="4"/>
    <n v="18399"/>
    <x v="1"/>
  </r>
  <r>
    <x v="33"/>
    <s v="IAM"/>
    <x v="0"/>
    <x v="1"/>
    <x v="5"/>
    <n v="18386"/>
    <x v="1"/>
  </r>
  <r>
    <x v="33"/>
    <s v="IAM"/>
    <x v="0"/>
    <x v="2"/>
    <x v="4"/>
    <n v="18260"/>
    <x v="1"/>
  </r>
  <r>
    <x v="33"/>
    <s v="IAM"/>
    <x v="0"/>
    <x v="2"/>
    <x v="5"/>
    <n v="18439"/>
    <x v="1"/>
  </r>
  <r>
    <x v="33"/>
    <s v="IAM"/>
    <x v="0"/>
    <x v="3"/>
    <x v="4"/>
    <n v="18041"/>
    <x v="1"/>
  </r>
  <r>
    <x v="33"/>
    <s v="IAM"/>
    <x v="0"/>
    <x v="3"/>
    <x v="5"/>
    <n v="18634"/>
    <x v="1"/>
  </r>
  <r>
    <x v="33"/>
    <s v="IAM"/>
    <x v="1"/>
    <x v="0"/>
    <x v="4"/>
    <n v="3720"/>
    <x v="1"/>
  </r>
  <r>
    <x v="33"/>
    <s v="IAM"/>
    <x v="1"/>
    <x v="0"/>
    <x v="5"/>
    <n v="3852"/>
    <x v="1"/>
  </r>
  <r>
    <x v="33"/>
    <s v="IAM"/>
    <x v="1"/>
    <x v="1"/>
    <x v="4"/>
    <n v="2946"/>
    <x v="1"/>
  </r>
  <r>
    <x v="33"/>
    <s v="IAM"/>
    <x v="1"/>
    <x v="1"/>
    <x v="5"/>
    <n v="4893"/>
    <x v="1"/>
  </r>
  <r>
    <x v="33"/>
    <s v="IAM"/>
    <x v="1"/>
    <x v="2"/>
    <x v="4"/>
    <n v="3233"/>
    <x v="1"/>
  </r>
  <r>
    <x v="33"/>
    <s v="IAM"/>
    <x v="1"/>
    <x v="2"/>
    <x v="5"/>
    <n v="7932"/>
    <x v="1"/>
  </r>
  <r>
    <x v="33"/>
    <s v="IAM"/>
    <x v="1"/>
    <x v="3"/>
    <x v="4"/>
    <n v="3184"/>
    <x v="1"/>
  </r>
  <r>
    <x v="33"/>
    <s v="IAM"/>
    <x v="1"/>
    <x v="3"/>
    <x v="5"/>
    <n v="7707"/>
    <x v="1"/>
  </r>
  <r>
    <x v="33"/>
    <s v="IAM"/>
    <x v="2"/>
    <x v="0"/>
    <x v="4"/>
    <n v="12166"/>
    <x v="1"/>
  </r>
  <r>
    <x v="33"/>
    <s v="IAM"/>
    <x v="2"/>
    <x v="0"/>
    <x v="5"/>
    <n v="16355"/>
    <x v="1"/>
  </r>
  <r>
    <x v="33"/>
    <s v="IAM"/>
    <x v="2"/>
    <x v="1"/>
    <x v="4"/>
    <n v="15733"/>
    <x v="1"/>
  </r>
  <r>
    <x v="33"/>
    <s v="IAM"/>
    <x v="2"/>
    <x v="1"/>
    <x v="5"/>
    <n v="16367"/>
    <x v="1"/>
  </r>
  <r>
    <x v="33"/>
    <s v="IAM"/>
    <x v="2"/>
    <x v="2"/>
    <x v="4"/>
    <n v="14383"/>
    <x v="1"/>
  </r>
  <r>
    <x v="33"/>
    <s v="IAM"/>
    <x v="2"/>
    <x v="2"/>
    <x v="5"/>
    <n v="22436"/>
    <x v="1"/>
  </r>
  <r>
    <x v="33"/>
    <s v="IAM"/>
    <x v="2"/>
    <x v="3"/>
    <x v="4"/>
    <n v="17624"/>
    <x v="1"/>
  </r>
  <r>
    <x v="33"/>
    <s v="IAM"/>
    <x v="2"/>
    <x v="3"/>
    <x v="5"/>
    <n v="17610"/>
    <x v="1"/>
  </r>
  <r>
    <x v="34"/>
    <s v="ADI"/>
    <x v="0"/>
    <x v="0"/>
    <x v="4"/>
    <n v="806"/>
    <x v="1"/>
  </r>
  <r>
    <x v="34"/>
    <s v="ADI"/>
    <x v="0"/>
    <x v="0"/>
    <x v="5"/>
    <n v="778"/>
    <x v="1"/>
  </r>
  <r>
    <x v="34"/>
    <s v="ADI"/>
    <x v="0"/>
    <x v="1"/>
    <x v="4"/>
    <n v="1003"/>
    <x v="1"/>
  </r>
  <r>
    <x v="34"/>
    <s v="ADI"/>
    <x v="0"/>
    <x v="1"/>
    <x v="5"/>
    <n v="1015"/>
    <x v="1"/>
  </r>
  <r>
    <x v="34"/>
    <s v="ADI"/>
    <x v="0"/>
    <x v="2"/>
    <x v="4"/>
    <n v="1209"/>
    <x v="1"/>
  </r>
  <r>
    <x v="34"/>
    <s v="ADI"/>
    <x v="0"/>
    <x v="2"/>
    <x v="5"/>
    <n v="1155"/>
    <x v="1"/>
  </r>
  <r>
    <x v="34"/>
    <s v="ADI"/>
    <x v="0"/>
    <x v="3"/>
    <x v="4"/>
    <n v="1333"/>
    <x v="1"/>
  </r>
  <r>
    <x v="34"/>
    <s v="ADI"/>
    <x v="0"/>
    <x v="3"/>
    <x v="5"/>
    <n v="1099"/>
    <x v="1"/>
  </r>
  <r>
    <x v="34"/>
    <s v="ADI"/>
    <x v="2"/>
    <x v="0"/>
    <x v="4"/>
    <n v="2268"/>
    <x v="1"/>
  </r>
  <r>
    <x v="34"/>
    <s v="ADI"/>
    <x v="2"/>
    <x v="0"/>
    <x v="5"/>
    <n v="2128"/>
    <x v="1"/>
  </r>
  <r>
    <x v="34"/>
    <s v="ADI"/>
    <x v="2"/>
    <x v="1"/>
    <x v="4"/>
    <n v="2183"/>
    <x v="1"/>
  </r>
  <r>
    <x v="34"/>
    <s v="ADI"/>
    <x v="2"/>
    <x v="1"/>
    <x v="5"/>
    <n v="1713"/>
    <x v="1"/>
  </r>
  <r>
    <x v="34"/>
    <s v="ADI"/>
    <x v="2"/>
    <x v="2"/>
    <x v="4"/>
    <n v="1376"/>
    <x v="1"/>
  </r>
  <r>
    <x v="34"/>
    <s v="ADI"/>
    <x v="2"/>
    <x v="2"/>
    <x v="5"/>
    <n v="1137"/>
    <x v="1"/>
  </r>
  <r>
    <x v="34"/>
    <s v="ADI"/>
    <x v="2"/>
    <x v="3"/>
    <x v="4"/>
    <n v="939"/>
    <x v="1"/>
  </r>
  <r>
    <x v="34"/>
    <s v="ADI"/>
    <x v="2"/>
    <x v="3"/>
    <x v="5"/>
    <n v="1303"/>
    <x v="1"/>
  </r>
  <r>
    <x v="35"/>
    <s v="ADH"/>
    <x v="0"/>
    <x v="0"/>
    <x v="4"/>
    <n v="810"/>
    <x v="1"/>
  </r>
  <r>
    <x v="35"/>
    <s v="ADH"/>
    <x v="0"/>
    <x v="0"/>
    <x v="5"/>
    <n v="584"/>
    <x v="1"/>
  </r>
  <r>
    <x v="35"/>
    <s v="ADH"/>
    <x v="0"/>
    <x v="1"/>
    <x v="4"/>
    <n v="1405"/>
    <x v="1"/>
  </r>
  <r>
    <x v="35"/>
    <s v="ADH"/>
    <x v="0"/>
    <x v="1"/>
    <x v="5"/>
    <n v="694"/>
    <x v="1"/>
  </r>
  <r>
    <x v="35"/>
    <s v="ADH"/>
    <x v="0"/>
    <x v="2"/>
    <x v="4"/>
    <n v="1687"/>
    <x v="1"/>
  </r>
  <r>
    <x v="35"/>
    <s v="ADH"/>
    <x v="0"/>
    <x v="2"/>
    <x v="5"/>
    <n v="902"/>
    <x v="1"/>
  </r>
  <r>
    <x v="35"/>
    <s v="ADH"/>
    <x v="0"/>
    <x v="3"/>
    <x v="4"/>
    <n v="1297"/>
    <x v="1"/>
  </r>
  <r>
    <x v="35"/>
    <s v="ADH"/>
    <x v="0"/>
    <x v="3"/>
    <x v="5"/>
    <n v="1412"/>
    <x v="1"/>
  </r>
  <r>
    <x v="35"/>
    <s v="ADH"/>
    <x v="2"/>
    <x v="0"/>
    <x v="4"/>
    <n v="4500"/>
    <x v="1"/>
  </r>
  <r>
    <x v="35"/>
    <s v="ADH"/>
    <x v="2"/>
    <x v="0"/>
    <x v="5"/>
    <n v="4600"/>
    <x v="1"/>
  </r>
  <r>
    <x v="35"/>
    <s v="ADH"/>
    <x v="2"/>
    <x v="1"/>
    <x v="4"/>
    <n v="4700"/>
    <x v="1"/>
  </r>
  <r>
    <x v="35"/>
    <s v="ADH"/>
    <x v="2"/>
    <x v="1"/>
    <x v="5"/>
    <n v="4300"/>
    <x v="1"/>
  </r>
  <r>
    <x v="35"/>
    <s v="ADH"/>
    <x v="2"/>
    <x v="2"/>
    <x v="4"/>
    <n v="4300"/>
    <x v="1"/>
  </r>
  <r>
    <x v="35"/>
    <s v="ADH"/>
    <x v="2"/>
    <x v="2"/>
    <x v="5"/>
    <n v="4100"/>
    <x v="1"/>
  </r>
  <r>
    <x v="35"/>
    <s v="ADH"/>
    <x v="2"/>
    <x v="3"/>
    <x v="4"/>
    <n v="4100"/>
    <x v="1"/>
  </r>
  <r>
    <x v="35"/>
    <s v="ADH"/>
    <x v="2"/>
    <x v="3"/>
    <x v="5"/>
    <n v="0"/>
    <x v="1"/>
  </r>
  <r>
    <x v="36"/>
    <s v="RDS"/>
    <x v="0"/>
    <x v="0"/>
    <x v="4"/>
    <n v="287"/>
    <x v="1"/>
  </r>
  <r>
    <x v="36"/>
    <s v="RDS"/>
    <x v="0"/>
    <x v="0"/>
    <x v="5"/>
    <n v="249"/>
    <x v="1"/>
  </r>
  <r>
    <x v="36"/>
    <s v="RDS"/>
    <x v="0"/>
    <x v="1"/>
    <x v="4"/>
    <n v="253"/>
    <x v="1"/>
  </r>
  <r>
    <x v="36"/>
    <s v="RDS"/>
    <x v="0"/>
    <x v="1"/>
    <x v="5"/>
    <n v="167"/>
    <x v="1"/>
  </r>
  <r>
    <x v="36"/>
    <s v="RDS"/>
    <x v="0"/>
    <x v="2"/>
    <x v="4"/>
    <n v="92"/>
    <x v="1"/>
  </r>
  <r>
    <x v="36"/>
    <s v="RDS"/>
    <x v="0"/>
    <x v="2"/>
    <x v="5"/>
    <n v="44"/>
    <x v="1"/>
  </r>
  <r>
    <x v="36"/>
    <s v="RDS"/>
    <x v="0"/>
    <x v="3"/>
    <x v="4"/>
    <n v="170"/>
    <x v="1"/>
  </r>
  <r>
    <x v="36"/>
    <s v="RDS"/>
    <x v="0"/>
    <x v="3"/>
    <x v="5"/>
    <n v="304"/>
    <x v="1"/>
  </r>
  <r>
    <x v="36"/>
    <s v="RDS"/>
    <x v="2"/>
    <x v="0"/>
    <x v="4"/>
    <n v="2397"/>
    <x v="1"/>
  </r>
  <r>
    <x v="36"/>
    <s v="RDS"/>
    <x v="2"/>
    <x v="0"/>
    <x v="5"/>
    <n v="2327"/>
    <x v="1"/>
  </r>
  <r>
    <x v="36"/>
    <s v="RDS"/>
    <x v="2"/>
    <x v="1"/>
    <x v="4"/>
    <n v="1729"/>
    <x v="1"/>
  </r>
  <r>
    <x v="36"/>
    <s v="RDS"/>
    <x v="2"/>
    <x v="1"/>
    <x v="5"/>
    <n v="1733"/>
    <x v="1"/>
  </r>
  <r>
    <x v="36"/>
    <s v="RDS"/>
    <x v="2"/>
    <x v="2"/>
    <x v="4"/>
    <n v="1781"/>
    <x v="1"/>
  </r>
  <r>
    <x v="36"/>
    <s v="RDS"/>
    <x v="2"/>
    <x v="2"/>
    <x v="5"/>
    <n v="1710"/>
    <x v="1"/>
  </r>
  <r>
    <x v="36"/>
    <s v="RDS"/>
    <x v="2"/>
    <x v="3"/>
    <x v="4"/>
    <n v="1635"/>
    <x v="1"/>
  </r>
  <r>
    <x v="36"/>
    <s v="RDS"/>
    <x v="2"/>
    <x v="3"/>
    <x v="5"/>
    <n v="1775"/>
    <x v="1"/>
  </r>
  <r>
    <x v="37"/>
    <s v="AKT"/>
    <x v="0"/>
    <x v="0"/>
    <x v="4"/>
    <n v="451"/>
    <x v="1"/>
  </r>
  <r>
    <x v="37"/>
    <s v="AKT"/>
    <x v="0"/>
    <x v="0"/>
    <x v="5"/>
    <n v="583"/>
    <x v="1"/>
  </r>
  <r>
    <x v="37"/>
    <s v="AKT"/>
    <x v="0"/>
    <x v="1"/>
    <x v="4"/>
    <n v="823"/>
    <x v="1"/>
  </r>
  <r>
    <x v="37"/>
    <s v="AKT"/>
    <x v="0"/>
    <x v="1"/>
    <x v="5"/>
    <n v="1089"/>
    <x v="1"/>
  </r>
  <r>
    <x v="37"/>
    <s v="AKT"/>
    <x v="0"/>
    <x v="2"/>
    <x v="4"/>
    <n v="1248"/>
    <x v="1"/>
  </r>
  <r>
    <x v="37"/>
    <s v="AKT"/>
    <x v="0"/>
    <x v="2"/>
    <x v="5"/>
    <n v="1704"/>
    <x v="1"/>
  </r>
  <r>
    <x v="37"/>
    <s v="AKT"/>
    <x v="0"/>
    <x v="3"/>
    <x v="4"/>
    <n v="2090"/>
    <x v="1"/>
  </r>
  <r>
    <x v="37"/>
    <s v="AKT"/>
    <x v="0"/>
    <x v="3"/>
    <x v="5"/>
    <n v="2319"/>
    <x v="1"/>
  </r>
  <r>
    <x v="37"/>
    <s v="AKT"/>
    <x v="1"/>
    <x v="0"/>
    <x v="4"/>
    <n v="128"/>
    <x v="1"/>
  </r>
  <r>
    <x v="37"/>
    <s v="AKT"/>
    <x v="1"/>
    <x v="0"/>
    <x v="5"/>
    <n v="980"/>
    <x v="1"/>
  </r>
  <r>
    <x v="37"/>
    <s v="AKT"/>
    <x v="1"/>
    <x v="1"/>
    <x v="4"/>
    <n v="587"/>
    <x v="1"/>
  </r>
  <r>
    <x v="37"/>
    <s v="AKT"/>
    <x v="1"/>
    <x v="1"/>
    <x v="5"/>
    <n v="474"/>
    <x v="1"/>
  </r>
  <r>
    <x v="37"/>
    <s v="AKT"/>
    <x v="1"/>
    <x v="2"/>
    <x v="4"/>
    <n v="568"/>
    <x v="1"/>
  </r>
  <r>
    <x v="37"/>
    <s v="AKT"/>
    <x v="1"/>
    <x v="2"/>
    <x v="5"/>
    <n v="1121"/>
    <x v="1"/>
  </r>
  <r>
    <x v="37"/>
    <s v="AKT"/>
    <x v="1"/>
    <x v="3"/>
    <x v="4"/>
    <n v="925"/>
    <x v="1"/>
  </r>
  <r>
    <x v="37"/>
    <s v="AKT"/>
    <x v="1"/>
    <x v="3"/>
    <x v="5"/>
    <n v="1130"/>
    <x v="1"/>
  </r>
  <r>
    <x v="37"/>
    <s v="AKT"/>
    <x v="2"/>
    <x v="0"/>
    <x v="4"/>
    <n v="0"/>
    <x v="1"/>
  </r>
  <r>
    <x v="37"/>
    <s v="AKT"/>
    <x v="2"/>
    <x v="0"/>
    <x v="5"/>
    <n v="0"/>
    <x v="1"/>
  </r>
  <r>
    <x v="37"/>
    <s v="AKT"/>
    <x v="2"/>
    <x v="1"/>
    <x v="4"/>
    <n v="872"/>
    <x v="1"/>
  </r>
  <r>
    <x v="37"/>
    <s v="AKT"/>
    <x v="2"/>
    <x v="1"/>
    <x v="5"/>
    <n v="1150"/>
    <x v="1"/>
  </r>
  <r>
    <x v="37"/>
    <s v="AKT"/>
    <x v="2"/>
    <x v="2"/>
    <x v="4"/>
    <n v="1818"/>
    <x v="1"/>
  </r>
  <r>
    <x v="37"/>
    <s v="AKT"/>
    <x v="2"/>
    <x v="2"/>
    <x v="5"/>
    <n v="1872"/>
    <x v="1"/>
  </r>
  <r>
    <x v="37"/>
    <s v="AKT"/>
    <x v="2"/>
    <x v="3"/>
    <x v="4"/>
    <n v="2827"/>
    <x v="1"/>
  </r>
  <r>
    <x v="37"/>
    <s v="AKT"/>
    <x v="2"/>
    <x v="3"/>
    <x v="5"/>
    <n v="4246"/>
    <x v="1"/>
  </r>
  <r>
    <x v="38"/>
    <s v="VCN"/>
    <x v="0"/>
    <x v="2"/>
    <x v="4"/>
    <n v="366"/>
    <x v="1"/>
  </r>
  <r>
    <x v="38"/>
    <s v="VCN"/>
    <x v="0"/>
    <x v="2"/>
    <x v="5"/>
    <n v="469"/>
    <x v="1"/>
  </r>
  <r>
    <x v="38"/>
    <s v="VCN"/>
    <x v="0"/>
    <x v="3"/>
    <x v="4"/>
    <n v="527"/>
    <x v="1"/>
  </r>
  <r>
    <x v="38"/>
    <s v="VCN"/>
    <x v="0"/>
    <x v="3"/>
    <x v="5"/>
    <n v="558"/>
    <x v="1"/>
  </r>
  <r>
    <x v="38"/>
    <s v="VCN"/>
    <x v="1"/>
    <x v="2"/>
    <x v="4"/>
    <n v="0"/>
    <x v="1"/>
  </r>
  <r>
    <x v="38"/>
    <s v="VCN"/>
    <x v="1"/>
    <x v="2"/>
    <x v="5"/>
    <n v="3"/>
    <x v="1"/>
  </r>
  <r>
    <x v="38"/>
    <s v="VCN"/>
    <x v="1"/>
    <x v="3"/>
    <x v="4"/>
    <n v="4"/>
    <x v="1"/>
  </r>
  <r>
    <x v="38"/>
    <s v="VCN"/>
    <x v="1"/>
    <x v="3"/>
    <x v="5"/>
    <n v="27"/>
    <x v="1"/>
  </r>
  <r>
    <x v="38"/>
    <s v="VCN"/>
    <x v="2"/>
    <x v="2"/>
    <x v="4"/>
    <n v="272"/>
    <x v="1"/>
  </r>
  <r>
    <x v="38"/>
    <s v="VCN"/>
    <x v="2"/>
    <x v="2"/>
    <x v="5"/>
    <n v="299"/>
    <x v="1"/>
  </r>
  <r>
    <x v="38"/>
    <s v="VCN"/>
    <x v="2"/>
    <x v="3"/>
    <x v="4"/>
    <n v="275"/>
    <x v="1"/>
  </r>
  <r>
    <x v="38"/>
    <s v="VCN"/>
    <x v="2"/>
    <x v="3"/>
    <x v="5"/>
    <n v="-315"/>
    <x v="1"/>
  </r>
  <r>
    <x v="39"/>
    <s v="SOT"/>
    <x v="0"/>
    <x v="0"/>
    <x v="4"/>
    <n v="1162"/>
    <x v="1"/>
  </r>
  <r>
    <x v="39"/>
    <s v="SOT"/>
    <x v="0"/>
    <x v="0"/>
    <x v="5"/>
    <n v="1110"/>
    <x v="1"/>
  </r>
  <r>
    <x v="39"/>
    <s v="SOT"/>
    <x v="0"/>
    <x v="1"/>
    <x v="4"/>
    <n v="1209"/>
    <x v="1"/>
  </r>
  <r>
    <x v="39"/>
    <s v="SOT"/>
    <x v="0"/>
    <x v="1"/>
    <x v="5"/>
    <n v="1246"/>
    <x v="1"/>
  </r>
  <r>
    <x v="39"/>
    <s v="SOT"/>
    <x v="0"/>
    <x v="2"/>
    <x v="4"/>
    <n v="1328"/>
    <x v="1"/>
  </r>
  <r>
    <x v="39"/>
    <s v="SOT"/>
    <x v="0"/>
    <x v="2"/>
    <x v="5"/>
    <n v="2816"/>
    <x v="1"/>
  </r>
  <r>
    <x v="39"/>
    <s v="SOT"/>
    <x v="0"/>
    <x v="3"/>
    <x v="4"/>
    <n v="1549"/>
    <x v="1"/>
  </r>
  <r>
    <x v="39"/>
    <s v="SOT"/>
    <x v="0"/>
    <x v="3"/>
    <x v="5"/>
    <n v="1678"/>
    <x v="1"/>
  </r>
  <r>
    <x v="39"/>
    <s v="SOT"/>
    <x v="1"/>
    <x v="0"/>
    <x v="4"/>
    <n v="17"/>
    <x v="1"/>
  </r>
  <r>
    <x v="39"/>
    <s v="SOT"/>
    <x v="1"/>
    <x v="0"/>
    <x v="5"/>
    <n v="38"/>
    <x v="1"/>
  </r>
  <r>
    <x v="39"/>
    <s v="SOT"/>
    <x v="1"/>
    <x v="1"/>
    <x v="4"/>
    <n v="22"/>
    <x v="1"/>
  </r>
  <r>
    <x v="39"/>
    <s v="SOT"/>
    <x v="1"/>
    <x v="1"/>
    <x v="5"/>
    <n v="78"/>
    <x v="1"/>
  </r>
  <r>
    <x v="39"/>
    <s v="SOT"/>
    <x v="1"/>
    <x v="2"/>
    <x v="4"/>
    <n v="23"/>
    <x v="1"/>
  </r>
  <r>
    <x v="39"/>
    <s v="SOT"/>
    <x v="1"/>
    <x v="2"/>
    <x v="5"/>
    <n v="51"/>
    <x v="1"/>
  </r>
  <r>
    <x v="39"/>
    <s v="SOT"/>
    <x v="1"/>
    <x v="3"/>
    <x v="4"/>
    <n v="28"/>
    <x v="1"/>
  </r>
  <r>
    <x v="39"/>
    <s v="SOT"/>
    <x v="1"/>
    <x v="3"/>
    <x v="5"/>
    <n v="57"/>
    <x v="1"/>
  </r>
  <r>
    <x v="39"/>
    <s v="SOT"/>
    <x v="2"/>
    <x v="0"/>
    <x v="4"/>
    <n v="118"/>
    <x v="1"/>
  </r>
  <r>
    <x v="39"/>
    <s v="SOT"/>
    <x v="2"/>
    <x v="0"/>
    <x v="5"/>
    <n v="275"/>
    <x v="1"/>
  </r>
  <r>
    <x v="39"/>
    <s v="SOT"/>
    <x v="2"/>
    <x v="1"/>
    <x v="4"/>
    <n v="288"/>
    <x v="1"/>
  </r>
  <r>
    <x v="39"/>
    <s v="SOT"/>
    <x v="2"/>
    <x v="1"/>
    <x v="5"/>
    <n v="443"/>
    <x v="1"/>
  </r>
  <r>
    <x v="39"/>
    <s v="SOT"/>
    <x v="2"/>
    <x v="2"/>
    <x v="4"/>
    <n v="394"/>
    <x v="1"/>
  </r>
  <r>
    <x v="39"/>
    <s v="SOT"/>
    <x v="2"/>
    <x v="2"/>
    <x v="5"/>
    <n v="507"/>
    <x v="1"/>
  </r>
  <r>
    <x v="39"/>
    <s v="SOT"/>
    <x v="2"/>
    <x v="3"/>
    <x v="4"/>
    <n v="312"/>
    <x v="1"/>
  </r>
  <r>
    <x v="39"/>
    <s v="SOT"/>
    <x v="2"/>
    <x v="3"/>
    <x v="5"/>
    <n v="738"/>
    <x v="1"/>
  </r>
  <r>
    <x v="40"/>
    <s v="ARD"/>
    <x v="0"/>
    <x v="0"/>
    <x v="4"/>
    <n v="230"/>
    <x v="1"/>
  </r>
  <r>
    <x v="40"/>
    <s v="ARD"/>
    <x v="0"/>
    <x v="0"/>
    <x v="5"/>
    <n v="256"/>
    <x v="1"/>
  </r>
  <r>
    <x v="40"/>
    <s v="ARD"/>
    <x v="0"/>
    <x v="1"/>
    <x v="4"/>
    <n v="295"/>
    <x v="1"/>
  </r>
  <r>
    <x v="40"/>
    <s v="ARD"/>
    <x v="0"/>
    <x v="1"/>
    <x v="5"/>
    <n v="288"/>
    <x v="1"/>
  </r>
  <r>
    <x v="40"/>
    <s v="ARD"/>
    <x v="0"/>
    <x v="2"/>
    <x v="4"/>
    <n v="298"/>
    <x v="1"/>
  </r>
  <r>
    <x v="40"/>
    <s v="ARD"/>
    <x v="0"/>
    <x v="2"/>
    <x v="5"/>
    <n v="308"/>
    <x v="1"/>
  </r>
  <r>
    <x v="40"/>
    <s v="ARD"/>
    <x v="0"/>
    <x v="3"/>
    <x v="4"/>
    <n v="308"/>
    <x v="1"/>
  </r>
  <r>
    <x v="40"/>
    <s v="ARD"/>
    <x v="0"/>
    <x v="3"/>
    <x v="5"/>
    <n v="338"/>
    <x v="1"/>
  </r>
  <r>
    <x v="40"/>
    <s v="ARD"/>
    <x v="1"/>
    <x v="0"/>
    <x v="4"/>
    <n v="381"/>
    <x v="1"/>
  </r>
  <r>
    <x v="40"/>
    <s v="ARD"/>
    <x v="1"/>
    <x v="0"/>
    <x v="5"/>
    <n v="365"/>
    <x v="1"/>
  </r>
  <r>
    <x v="40"/>
    <s v="ARD"/>
    <x v="1"/>
    <x v="1"/>
    <x v="4"/>
    <n v="238"/>
    <x v="1"/>
  </r>
  <r>
    <x v="40"/>
    <s v="ARD"/>
    <x v="1"/>
    <x v="1"/>
    <x v="5"/>
    <n v="236"/>
    <x v="1"/>
  </r>
  <r>
    <x v="40"/>
    <s v="ARD"/>
    <x v="1"/>
    <x v="2"/>
    <x v="4"/>
    <n v="222"/>
    <x v="1"/>
  </r>
  <r>
    <x v="40"/>
    <s v="ARD"/>
    <x v="1"/>
    <x v="2"/>
    <x v="5"/>
    <n v="235"/>
    <x v="1"/>
  </r>
  <r>
    <x v="40"/>
    <s v="ARD"/>
    <x v="1"/>
    <x v="3"/>
    <x v="4"/>
    <n v="142"/>
    <x v="1"/>
  </r>
  <r>
    <x v="40"/>
    <s v="ARD"/>
    <x v="1"/>
    <x v="3"/>
    <x v="5"/>
    <n v="158"/>
    <x v="1"/>
  </r>
  <r>
    <x v="40"/>
    <s v="ARD"/>
    <x v="2"/>
    <x v="0"/>
    <x v="4"/>
    <n v="2835"/>
    <x v="1"/>
  </r>
  <r>
    <x v="40"/>
    <s v="ARD"/>
    <x v="2"/>
    <x v="0"/>
    <x v="5"/>
    <n v="2816"/>
    <x v="1"/>
  </r>
  <r>
    <x v="40"/>
    <s v="ARD"/>
    <x v="2"/>
    <x v="1"/>
    <x v="4"/>
    <n v="2604"/>
    <x v="1"/>
  </r>
  <r>
    <x v="40"/>
    <s v="ARD"/>
    <x v="2"/>
    <x v="1"/>
    <x v="5"/>
    <n v="2670"/>
    <x v="1"/>
  </r>
  <r>
    <x v="40"/>
    <s v="ARD"/>
    <x v="2"/>
    <x v="2"/>
    <x v="4"/>
    <n v="2551"/>
    <x v="1"/>
  </r>
  <r>
    <x v="40"/>
    <s v="ARD"/>
    <x v="2"/>
    <x v="2"/>
    <x v="5"/>
    <n v="2529"/>
    <x v="1"/>
  </r>
  <r>
    <x v="40"/>
    <s v="ARD"/>
    <x v="2"/>
    <x v="3"/>
    <x v="4"/>
    <n v="2845"/>
    <x v="1"/>
  </r>
  <r>
    <x v="40"/>
    <s v="ARD"/>
    <x v="2"/>
    <x v="3"/>
    <x v="5"/>
    <n v="2805"/>
    <x v="1"/>
  </r>
  <r>
    <x v="0"/>
    <s v="ATL"/>
    <x v="0"/>
    <x v="0"/>
    <x v="6"/>
    <n v="5403"/>
    <x v="2"/>
  </r>
  <r>
    <x v="0"/>
    <s v="ATL"/>
    <x v="0"/>
    <x v="1"/>
    <x v="6"/>
    <n v="5112"/>
    <x v="2"/>
  </r>
  <r>
    <x v="0"/>
    <s v="ATL"/>
    <x v="0"/>
    <x v="2"/>
    <x v="6"/>
    <n v="5260"/>
    <x v="2"/>
  </r>
  <r>
    <x v="0"/>
    <s v="ATL"/>
    <x v="0"/>
    <x v="3"/>
    <x v="6"/>
    <n v="6050"/>
    <x v="2"/>
  </r>
  <r>
    <x v="1"/>
    <s v="WAA"/>
    <x v="0"/>
    <x v="0"/>
    <x v="6"/>
    <n v="11638"/>
    <x v="2"/>
  </r>
  <r>
    <x v="1"/>
    <s v="WAA"/>
    <x v="0"/>
    <x v="1"/>
    <x v="6"/>
    <n v="12724"/>
    <x v="2"/>
  </r>
  <r>
    <x v="1"/>
    <s v="WAA"/>
    <x v="0"/>
    <x v="2"/>
    <x v="6"/>
    <n v="13067"/>
    <x v="2"/>
  </r>
  <r>
    <x v="1"/>
    <s v="WAA"/>
    <x v="0"/>
    <x v="3"/>
    <x v="6"/>
    <n v="15226"/>
    <x v="2"/>
  </r>
  <r>
    <x v="2"/>
    <s v="ATW"/>
    <x v="0"/>
    <x v="0"/>
    <x v="6"/>
    <n v="26313"/>
    <x v="2"/>
  </r>
  <r>
    <x v="2"/>
    <s v="ATW"/>
    <x v="0"/>
    <x v="1"/>
    <x v="6"/>
    <n v="29943"/>
    <x v="2"/>
  </r>
  <r>
    <x v="2"/>
    <s v="ATW"/>
    <x v="0"/>
    <x v="2"/>
    <x v="6"/>
    <n v="34507"/>
    <x v="2"/>
  </r>
  <r>
    <x v="2"/>
    <s v="ATW"/>
    <x v="0"/>
    <x v="3"/>
    <x v="6"/>
    <n v="34921"/>
    <x v="2"/>
  </r>
  <r>
    <x v="3"/>
    <s v="BOA"/>
    <x v="0"/>
    <x v="0"/>
    <x v="6"/>
    <n v="15626"/>
    <x v="2"/>
  </r>
  <r>
    <x v="3"/>
    <s v="BOA"/>
    <x v="0"/>
    <x v="1"/>
    <x v="6"/>
    <n v="16942"/>
    <x v="2"/>
  </r>
  <r>
    <x v="3"/>
    <s v="BOA"/>
    <x v="0"/>
    <x v="2"/>
    <x v="6"/>
    <n v="18622"/>
    <x v="2"/>
  </r>
  <r>
    <x v="3"/>
    <s v="BOA"/>
    <x v="0"/>
    <x v="3"/>
    <x v="6"/>
    <n v="20348"/>
    <x v="2"/>
  </r>
  <r>
    <x v="4"/>
    <s v="BCP"/>
    <x v="0"/>
    <x v="0"/>
    <x v="6"/>
    <n v="20609"/>
    <x v="2"/>
  </r>
  <r>
    <x v="4"/>
    <s v="BCP"/>
    <x v="0"/>
    <x v="1"/>
    <x v="6"/>
    <n v="22795"/>
    <x v="2"/>
  </r>
  <r>
    <x v="4"/>
    <s v="BCP"/>
    <x v="0"/>
    <x v="2"/>
    <x v="6"/>
    <n v="25601"/>
    <x v="2"/>
  </r>
  <r>
    <x v="4"/>
    <s v="BCP"/>
    <x v="0"/>
    <x v="3"/>
    <x v="6"/>
    <n v="27000"/>
    <x v="2"/>
  </r>
  <r>
    <x v="5"/>
    <s v="BCI"/>
    <x v="0"/>
    <x v="0"/>
    <x v="6"/>
    <n v="3055"/>
    <x v="2"/>
  </r>
  <r>
    <x v="5"/>
    <s v="BCI"/>
    <x v="0"/>
    <x v="1"/>
    <x v="6"/>
    <n v="3440"/>
    <x v="2"/>
  </r>
  <r>
    <x v="5"/>
    <s v="BCI"/>
    <x v="0"/>
    <x v="2"/>
    <x v="6"/>
    <n v="3790"/>
    <x v="2"/>
  </r>
  <r>
    <x v="5"/>
    <s v="BCI"/>
    <x v="0"/>
    <x v="3"/>
    <x v="6"/>
    <n v="3940"/>
    <x v="2"/>
  </r>
  <r>
    <x v="6"/>
    <s v="CDM"/>
    <x v="0"/>
    <x v="0"/>
    <x v="6"/>
    <n v="2569"/>
    <x v="2"/>
  </r>
  <r>
    <x v="6"/>
    <s v="CDM"/>
    <x v="0"/>
    <x v="1"/>
    <x v="6"/>
    <n v="2900"/>
    <x v="2"/>
  </r>
  <r>
    <x v="6"/>
    <s v="CDM"/>
    <x v="0"/>
    <x v="2"/>
    <x v="6"/>
    <n v="3300"/>
    <x v="2"/>
  </r>
  <r>
    <x v="6"/>
    <s v="CDM"/>
    <x v="0"/>
    <x v="3"/>
    <x v="6"/>
    <n v="3468"/>
    <x v="2"/>
  </r>
  <r>
    <x v="7"/>
    <s v="CFG"/>
    <x v="0"/>
    <x v="0"/>
    <x v="6"/>
    <n v="500"/>
    <x v="2"/>
  </r>
  <r>
    <x v="7"/>
    <s v="CFG"/>
    <x v="0"/>
    <x v="1"/>
    <x v="6"/>
    <n v="657"/>
    <x v="2"/>
  </r>
  <r>
    <x v="7"/>
    <s v="CFG"/>
    <x v="0"/>
    <x v="2"/>
    <x v="6"/>
    <n v="941"/>
    <x v="2"/>
  </r>
  <r>
    <x v="7"/>
    <s v="CFG"/>
    <x v="0"/>
    <x v="3"/>
    <x v="6"/>
    <n v="1247"/>
    <x v="2"/>
  </r>
  <r>
    <x v="8"/>
    <s v="CIH"/>
    <x v="0"/>
    <x v="0"/>
    <x v="6"/>
    <n v="3518"/>
    <x v="2"/>
  </r>
  <r>
    <x v="8"/>
    <s v="CIH"/>
    <x v="0"/>
    <x v="1"/>
    <x v="6"/>
    <n v="4468"/>
    <x v="2"/>
  </r>
  <r>
    <x v="8"/>
    <s v="CIH"/>
    <x v="0"/>
    <x v="2"/>
    <x v="6"/>
    <n v="4739"/>
    <x v="2"/>
  </r>
  <r>
    <x v="8"/>
    <s v="CIH"/>
    <x v="0"/>
    <x v="3"/>
    <x v="6"/>
    <n v="5423"/>
    <x v="2"/>
  </r>
  <r>
    <x v="9"/>
    <s v="EQD"/>
    <x v="0"/>
    <x v="0"/>
    <x v="6"/>
    <n v="581"/>
    <x v="2"/>
  </r>
  <r>
    <x v="9"/>
    <s v="EQD"/>
    <x v="0"/>
    <x v="1"/>
    <x v="6"/>
    <n v="547"/>
    <x v="2"/>
  </r>
  <r>
    <x v="9"/>
    <s v="EQD"/>
    <x v="0"/>
    <x v="2"/>
    <x v="6"/>
    <n v="543"/>
    <x v="2"/>
  </r>
  <r>
    <x v="9"/>
    <s v="EQD"/>
    <x v="0"/>
    <x v="3"/>
    <x v="6"/>
    <n v="1036"/>
    <x v="2"/>
  </r>
  <r>
    <x v="10"/>
    <s v="SLF"/>
    <x v="0"/>
    <x v="0"/>
    <x v="6"/>
    <n v="399"/>
    <x v="2"/>
  </r>
  <r>
    <x v="10"/>
    <s v="SLF"/>
    <x v="0"/>
    <x v="1"/>
    <x v="6"/>
    <n v="396"/>
    <x v="2"/>
  </r>
  <r>
    <x v="10"/>
    <s v="SLF"/>
    <x v="0"/>
    <x v="2"/>
    <x v="6"/>
    <n v="379"/>
    <x v="2"/>
  </r>
  <r>
    <x v="10"/>
    <s v="SLF"/>
    <x v="0"/>
    <x v="3"/>
    <x v="6"/>
    <n v="286"/>
    <x v="2"/>
  </r>
  <r>
    <x v="12"/>
    <s v="CSR"/>
    <x v="0"/>
    <x v="0"/>
    <x v="6"/>
    <n v="10433"/>
    <x v="2"/>
  </r>
  <r>
    <x v="12"/>
    <s v="CSR"/>
    <x v="0"/>
    <x v="1"/>
    <x v="6"/>
    <n v="10233"/>
    <x v="2"/>
  </r>
  <r>
    <x v="12"/>
    <s v="CSR"/>
    <x v="0"/>
    <x v="2"/>
    <x v="6"/>
    <n v="10238"/>
    <x v="2"/>
  </r>
  <r>
    <x v="12"/>
    <s v="CSR"/>
    <x v="0"/>
    <x v="3"/>
    <x v="6"/>
    <n v="10487"/>
    <x v="2"/>
  </r>
  <r>
    <x v="12"/>
    <s v="CSR"/>
    <x v="1"/>
    <x v="0"/>
    <x v="6"/>
    <n v="283"/>
    <x v="2"/>
  </r>
  <r>
    <x v="12"/>
    <s v="CSR"/>
    <x v="1"/>
    <x v="1"/>
    <x v="6"/>
    <n v="242"/>
    <x v="2"/>
  </r>
  <r>
    <x v="12"/>
    <s v="CSR"/>
    <x v="1"/>
    <x v="2"/>
    <x v="6"/>
    <n v="200"/>
    <x v="2"/>
  </r>
  <r>
    <x v="12"/>
    <s v="CSR"/>
    <x v="1"/>
    <x v="3"/>
    <x v="6"/>
    <n v="245"/>
    <x v="2"/>
  </r>
  <r>
    <x v="12"/>
    <s v="CSR"/>
    <x v="2"/>
    <x v="0"/>
    <x v="6"/>
    <n v="985"/>
    <x v="2"/>
  </r>
  <r>
    <x v="12"/>
    <s v="CSR"/>
    <x v="2"/>
    <x v="1"/>
    <x v="6"/>
    <n v="1458"/>
    <x v="2"/>
  </r>
  <r>
    <x v="12"/>
    <s v="CSR"/>
    <x v="2"/>
    <x v="2"/>
    <x v="6"/>
    <n v="556"/>
    <x v="2"/>
  </r>
  <r>
    <x v="12"/>
    <s v="CSR"/>
    <x v="2"/>
    <x v="3"/>
    <x v="6"/>
    <n v="206"/>
    <x v="2"/>
  </r>
  <r>
    <x v="13"/>
    <s v="LES"/>
    <x v="0"/>
    <x v="0"/>
    <x v="6"/>
    <n v="6889"/>
    <x v="2"/>
  </r>
  <r>
    <x v="13"/>
    <s v="LES"/>
    <x v="0"/>
    <x v="1"/>
    <x v="6"/>
    <n v="5934"/>
    <x v="2"/>
  </r>
  <r>
    <x v="13"/>
    <s v="LES"/>
    <x v="0"/>
    <x v="2"/>
    <x v="6"/>
    <n v="5128"/>
    <x v="2"/>
  </r>
  <r>
    <x v="13"/>
    <s v="LES"/>
    <x v="0"/>
    <x v="3"/>
    <x v="6"/>
    <n v="5267"/>
    <x v="2"/>
  </r>
  <r>
    <x v="13"/>
    <s v="LES"/>
    <x v="1"/>
    <x v="0"/>
    <x v="6"/>
    <n v="166"/>
    <x v="2"/>
  </r>
  <r>
    <x v="13"/>
    <s v="LES"/>
    <x v="1"/>
    <x v="1"/>
    <x v="6"/>
    <n v="118"/>
    <x v="2"/>
  </r>
  <r>
    <x v="13"/>
    <s v="LES"/>
    <x v="1"/>
    <x v="2"/>
    <x v="6"/>
    <n v="159"/>
    <x v="2"/>
  </r>
  <r>
    <x v="13"/>
    <s v="LES"/>
    <x v="1"/>
    <x v="3"/>
    <x v="6"/>
    <n v="61"/>
    <x v="2"/>
  </r>
  <r>
    <x v="13"/>
    <s v="LES"/>
    <x v="2"/>
    <x v="0"/>
    <x v="6"/>
    <n v="-1094"/>
    <x v="2"/>
  </r>
  <r>
    <x v="13"/>
    <s v="LES"/>
    <x v="2"/>
    <x v="1"/>
    <x v="6"/>
    <n v="36"/>
    <x v="2"/>
  </r>
  <r>
    <x v="13"/>
    <s v="LES"/>
    <x v="2"/>
    <x v="2"/>
    <x v="6"/>
    <n v="196"/>
    <x v="2"/>
  </r>
  <r>
    <x v="13"/>
    <s v="LES"/>
    <x v="2"/>
    <x v="3"/>
    <x v="6"/>
    <n v="243"/>
    <x v="2"/>
  </r>
  <r>
    <x v="14"/>
    <s v="MUT"/>
    <x v="0"/>
    <x v="0"/>
    <x v="6"/>
    <n v="2329"/>
    <x v="2"/>
  </r>
  <r>
    <x v="14"/>
    <s v="MUT"/>
    <x v="0"/>
    <x v="1"/>
    <x v="6"/>
    <n v="2497"/>
    <x v="2"/>
  </r>
  <r>
    <x v="14"/>
    <s v="MUT"/>
    <x v="0"/>
    <x v="2"/>
    <x v="6"/>
    <n v="2116"/>
    <x v="2"/>
  </r>
  <r>
    <x v="14"/>
    <s v="MUT"/>
    <x v="0"/>
    <x v="3"/>
    <x v="6"/>
    <n v="2022"/>
    <x v="2"/>
  </r>
  <r>
    <x v="14"/>
    <s v="MUT"/>
    <x v="1"/>
    <x v="0"/>
    <x v="6"/>
    <n v="218"/>
    <x v="2"/>
  </r>
  <r>
    <x v="14"/>
    <s v="MUT"/>
    <x v="1"/>
    <x v="1"/>
    <x v="6"/>
    <n v="529"/>
    <x v="2"/>
  </r>
  <r>
    <x v="14"/>
    <s v="MUT"/>
    <x v="1"/>
    <x v="2"/>
    <x v="6"/>
    <n v="261"/>
    <x v="2"/>
  </r>
  <r>
    <x v="14"/>
    <s v="MUT"/>
    <x v="1"/>
    <x v="3"/>
    <x v="6"/>
    <n v="88"/>
    <x v="2"/>
  </r>
  <r>
    <x v="14"/>
    <s v="MUT"/>
    <x v="2"/>
    <x v="0"/>
    <x v="6"/>
    <n v="739"/>
    <x v="2"/>
  </r>
  <r>
    <x v="14"/>
    <s v="MUT"/>
    <x v="2"/>
    <x v="1"/>
    <x v="6"/>
    <n v="1102"/>
    <x v="2"/>
  </r>
  <r>
    <x v="14"/>
    <s v="MUT"/>
    <x v="2"/>
    <x v="2"/>
    <x v="6"/>
    <n v="850"/>
    <x v="2"/>
  </r>
  <r>
    <x v="14"/>
    <s v="MUT"/>
    <x v="2"/>
    <x v="3"/>
    <x v="6"/>
    <n v="828"/>
    <x v="2"/>
  </r>
  <r>
    <x v="15"/>
    <s v="SBM"/>
    <x v="0"/>
    <x v="0"/>
    <x v="6"/>
    <n v="2913"/>
    <x v="2"/>
  </r>
  <r>
    <x v="15"/>
    <s v="SBM"/>
    <x v="0"/>
    <x v="1"/>
    <x v="6"/>
    <n v="2931"/>
    <x v="2"/>
  </r>
  <r>
    <x v="15"/>
    <s v="SBM"/>
    <x v="0"/>
    <x v="2"/>
    <x v="6"/>
    <n v="2862"/>
    <x v="2"/>
  </r>
  <r>
    <x v="15"/>
    <s v="SBM"/>
    <x v="0"/>
    <x v="3"/>
    <x v="6"/>
    <n v="3082"/>
    <x v="2"/>
  </r>
  <r>
    <x v="15"/>
    <s v="SBM"/>
    <x v="1"/>
    <x v="0"/>
    <x v="6"/>
    <n v="68"/>
    <x v="2"/>
  </r>
  <r>
    <x v="15"/>
    <s v="SBM"/>
    <x v="1"/>
    <x v="1"/>
    <x v="6"/>
    <n v="195"/>
    <x v="2"/>
  </r>
  <r>
    <x v="15"/>
    <s v="SBM"/>
    <x v="1"/>
    <x v="2"/>
    <x v="6"/>
    <n v="114"/>
    <x v="2"/>
  </r>
  <r>
    <x v="15"/>
    <s v="SBM"/>
    <x v="1"/>
    <x v="3"/>
    <x v="6"/>
    <n v="101"/>
    <x v="2"/>
  </r>
  <r>
    <x v="15"/>
    <s v="SBM"/>
    <x v="2"/>
    <x v="0"/>
    <x v="6"/>
    <n v="-841"/>
    <x v="2"/>
  </r>
  <r>
    <x v="15"/>
    <s v="SBM"/>
    <x v="2"/>
    <x v="1"/>
    <x v="6"/>
    <n v="-941"/>
    <x v="2"/>
  </r>
  <r>
    <x v="15"/>
    <s v="SBM"/>
    <x v="2"/>
    <x v="2"/>
    <x v="6"/>
    <n v="-556"/>
    <x v="2"/>
  </r>
  <r>
    <x v="15"/>
    <s v="SBM"/>
    <x v="2"/>
    <x v="3"/>
    <x v="6"/>
    <n v="-593"/>
    <x v="2"/>
  </r>
  <r>
    <x v="16"/>
    <s v="JET"/>
    <x v="0"/>
    <x v="0"/>
    <x v="6"/>
    <n v="1714"/>
    <x v="2"/>
  </r>
  <r>
    <x v="16"/>
    <s v="JET"/>
    <x v="0"/>
    <x v="1"/>
    <x v="6"/>
    <n v="2320"/>
    <x v="2"/>
  </r>
  <r>
    <x v="16"/>
    <s v="JET"/>
    <x v="0"/>
    <x v="2"/>
    <x v="6"/>
    <n v="2673"/>
    <x v="2"/>
  </r>
  <r>
    <x v="16"/>
    <s v="JET"/>
    <x v="0"/>
    <x v="3"/>
    <x v="6"/>
    <n v="3720"/>
    <x v="2"/>
  </r>
  <r>
    <x v="16"/>
    <s v="JET"/>
    <x v="1"/>
    <x v="0"/>
    <x v="6"/>
    <n v="67"/>
    <x v="2"/>
  </r>
  <r>
    <x v="16"/>
    <s v="JET"/>
    <x v="1"/>
    <x v="1"/>
    <x v="6"/>
    <n v="36"/>
    <x v="2"/>
  </r>
  <r>
    <x v="16"/>
    <s v="JET"/>
    <x v="1"/>
    <x v="2"/>
    <x v="6"/>
    <n v="71"/>
    <x v="2"/>
  </r>
  <r>
    <x v="16"/>
    <s v="JET"/>
    <x v="1"/>
    <x v="3"/>
    <x v="6"/>
    <n v="411"/>
    <x v="2"/>
  </r>
  <r>
    <x v="16"/>
    <s v="JET"/>
    <x v="2"/>
    <x v="0"/>
    <x v="6"/>
    <n v="844"/>
    <x v="2"/>
  </r>
  <r>
    <x v="16"/>
    <s v="JET"/>
    <x v="2"/>
    <x v="1"/>
    <x v="6"/>
    <n v="1016"/>
    <x v="2"/>
  </r>
  <r>
    <x v="16"/>
    <s v="JET"/>
    <x v="2"/>
    <x v="2"/>
    <x v="6"/>
    <n v="1002"/>
    <x v="2"/>
  </r>
  <r>
    <x v="16"/>
    <s v="JET"/>
    <x v="2"/>
    <x v="3"/>
    <x v="6"/>
    <n v="1640"/>
    <x v="2"/>
  </r>
  <r>
    <x v="17"/>
    <s v="LHM"/>
    <x v="0"/>
    <x v="0"/>
    <x v="6"/>
    <n v="7984"/>
    <x v="2"/>
  </r>
  <r>
    <x v="17"/>
    <s v="LHM"/>
    <x v="0"/>
    <x v="1"/>
    <x v="6"/>
    <n v="8212"/>
    <x v="2"/>
  </r>
  <r>
    <x v="17"/>
    <s v="LHM"/>
    <x v="0"/>
    <x v="2"/>
    <x v="6"/>
    <n v="8155"/>
    <x v="2"/>
  </r>
  <r>
    <x v="17"/>
    <s v="LHM"/>
    <x v="0"/>
    <x v="3"/>
    <x v="6"/>
    <n v="8880"/>
    <x v="2"/>
  </r>
  <r>
    <x v="17"/>
    <s v="LHM"/>
    <x v="2"/>
    <x v="0"/>
    <x v="6"/>
    <n v="5486"/>
    <x v="2"/>
  </r>
  <r>
    <x v="17"/>
    <s v="LHM"/>
    <x v="2"/>
    <x v="1"/>
    <x v="6"/>
    <n v="4864"/>
    <x v="2"/>
  </r>
  <r>
    <x v="17"/>
    <s v="LHM"/>
    <x v="2"/>
    <x v="2"/>
    <x v="6"/>
    <n v="4034"/>
    <x v="2"/>
  </r>
  <r>
    <x v="17"/>
    <s v="LHM"/>
    <x v="2"/>
    <x v="3"/>
    <x v="6"/>
    <n v="4034"/>
    <x v="2"/>
  </r>
  <r>
    <x v="18"/>
    <s v="SID"/>
    <x v="0"/>
    <x v="0"/>
    <x v="6"/>
    <n v="4888"/>
    <x v="2"/>
  </r>
  <r>
    <x v="18"/>
    <s v="SID"/>
    <x v="0"/>
    <x v="1"/>
    <x v="6"/>
    <n v="4995"/>
    <x v="2"/>
  </r>
  <r>
    <x v="18"/>
    <s v="SID"/>
    <x v="0"/>
    <x v="2"/>
    <x v="6"/>
    <n v="5494"/>
    <x v="2"/>
  </r>
  <r>
    <x v="18"/>
    <s v="SID"/>
    <x v="0"/>
    <x v="3"/>
    <x v="6"/>
    <n v="6386"/>
    <x v="2"/>
  </r>
  <r>
    <x v="18"/>
    <s v="SID"/>
    <x v="1"/>
    <x v="0"/>
    <x v="6"/>
    <n v="142"/>
    <x v="2"/>
  </r>
  <r>
    <x v="18"/>
    <s v="SID"/>
    <x v="1"/>
    <x v="1"/>
    <x v="6"/>
    <n v="219"/>
    <x v="2"/>
  </r>
  <r>
    <x v="18"/>
    <s v="SID"/>
    <x v="1"/>
    <x v="2"/>
    <x v="6"/>
    <n v="197"/>
    <x v="2"/>
  </r>
  <r>
    <x v="18"/>
    <s v="SID"/>
    <x v="1"/>
    <x v="3"/>
    <x v="6"/>
    <n v="277"/>
    <x v="2"/>
  </r>
  <r>
    <x v="18"/>
    <s v="SID"/>
    <x v="2"/>
    <x v="0"/>
    <x v="6"/>
    <n v="-852"/>
    <x v="2"/>
  </r>
  <r>
    <x v="18"/>
    <s v="SID"/>
    <x v="2"/>
    <x v="1"/>
    <x v="6"/>
    <n v="-768"/>
    <x v="2"/>
  </r>
  <r>
    <x v="18"/>
    <s v="SID"/>
    <x v="2"/>
    <x v="2"/>
    <x v="6"/>
    <n v="-722"/>
    <x v="2"/>
  </r>
  <r>
    <x v="18"/>
    <s v="SID"/>
    <x v="2"/>
    <x v="3"/>
    <x v="6"/>
    <n v="-400"/>
    <x v="2"/>
  </r>
  <r>
    <x v="19"/>
    <s v="TGC"/>
    <x v="0"/>
    <x v="0"/>
    <x v="6"/>
    <n v="5061"/>
    <x v="2"/>
  </r>
  <r>
    <x v="19"/>
    <s v="TGC"/>
    <x v="0"/>
    <x v="1"/>
    <x v="6"/>
    <n v="7104"/>
    <x v="2"/>
  </r>
  <r>
    <x v="19"/>
    <s v="TGC"/>
    <x v="0"/>
    <x v="2"/>
    <x v="6"/>
    <n v="8047"/>
    <x v="2"/>
  </r>
  <r>
    <x v="19"/>
    <s v="TGC"/>
    <x v="0"/>
    <x v="3"/>
    <x v="6"/>
    <n v="11832"/>
    <x v="2"/>
  </r>
  <r>
    <x v="19"/>
    <s v="TGC"/>
    <x v="1"/>
    <x v="0"/>
    <x v="6"/>
    <n v="124"/>
    <x v="2"/>
  </r>
  <r>
    <x v="19"/>
    <s v="TGC"/>
    <x v="1"/>
    <x v="1"/>
    <x v="6"/>
    <n v="308"/>
    <x v="2"/>
  </r>
  <r>
    <x v="19"/>
    <s v="TGC"/>
    <x v="1"/>
    <x v="2"/>
    <x v="6"/>
    <n v="173"/>
    <x v="2"/>
  </r>
  <r>
    <x v="19"/>
    <s v="TGC"/>
    <x v="1"/>
    <x v="3"/>
    <x v="6"/>
    <n v="610"/>
    <x v="2"/>
  </r>
  <r>
    <x v="19"/>
    <s v="TGC"/>
    <x v="2"/>
    <x v="0"/>
    <x v="6"/>
    <n v="664"/>
    <x v="2"/>
  </r>
  <r>
    <x v="19"/>
    <s v="TGC"/>
    <x v="2"/>
    <x v="1"/>
    <x v="6"/>
    <n v="979"/>
    <x v="2"/>
  </r>
  <r>
    <x v="19"/>
    <s v="TGC"/>
    <x v="2"/>
    <x v="2"/>
    <x v="6"/>
    <n v="675"/>
    <x v="2"/>
  </r>
  <r>
    <x v="19"/>
    <s v="TGC"/>
    <x v="2"/>
    <x v="3"/>
    <x v="6"/>
    <n v="610"/>
    <x v="2"/>
  </r>
  <r>
    <x v="20"/>
    <s v="GTM"/>
    <x v="0"/>
    <x v="3"/>
    <x v="6"/>
    <n v="15165"/>
    <x v="2"/>
  </r>
  <r>
    <x v="20"/>
    <s v="GTM"/>
    <x v="1"/>
    <x v="3"/>
    <x v="6"/>
    <n v="783"/>
    <x v="2"/>
  </r>
  <r>
    <x v="20"/>
    <s v="GTM"/>
    <x v="2"/>
    <x v="3"/>
    <x v="6"/>
    <n v="156"/>
    <x v="2"/>
  </r>
  <r>
    <x v="21"/>
    <s v="LBV"/>
    <x v="0"/>
    <x v="0"/>
    <x v="6"/>
    <n v="13947"/>
    <x v="2"/>
  </r>
  <r>
    <x v="21"/>
    <s v="LBV"/>
    <x v="0"/>
    <x v="1"/>
    <x v="6"/>
    <n v="15800"/>
    <x v="2"/>
  </r>
  <r>
    <x v="21"/>
    <s v="LBV"/>
    <x v="0"/>
    <x v="2"/>
    <x v="6"/>
    <n v="16418"/>
    <x v="2"/>
  </r>
  <r>
    <x v="21"/>
    <s v="LBV"/>
    <x v="0"/>
    <x v="3"/>
    <x v="6"/>
    <n v="18534"/>
    <x v="2"/>
  </r>
  <r>
    <x v="21"/>
    <s v="LBV"/>
    <x v="1"/>
    <x v="0"/>
    <x v="6"/>
    <n v="1173"/>
    <x v="2"/>
  </r>
  <r>
    <x v="21"/>
    <s v="LBV"/>
    <x v="1"/>
    <x v="1"/>
    <x v="6"/>
    <n v="1219"/>
    <x v="2"/>
  </r>
  <r>
    <x v="21"/>
    <s v="LBV"/>
    <x v="1"/>
    <x v="2"/>
    <x v="6"/>
    <n v="910"/>
    <x v="2"/>
  </r>
  <r>
    <x v="21"/>
    <s v="LBV"/>
    <x v="1"/>
    <x v="3"/>
    <x v="6"/>
    <n v="1206"/>
    <x v="2"/>
  </r>
  <r>
    <x v="21"/>
    <s v="LBV"/>
    <x v="2"/>
    <x v="0"/>
    <x v="6"/>
    <n v="3176"/>
    <x v="2"/>
  </r>
  <r>
    <x v="21"/>
    <s v="LBV"/>
    <x v="2"/>
    <x v="1"/>
    <x v="6"/>
    <n v="3789"/>
    <x v="2"/>
  </r>
  <r>
    <x v="21"/>
    <s v="LBV"/>
    <x v="2"/>
    <x v="2"/>
    <x v="6"/>
    <n v="3973"/>
    <x v="2"/>
  </r>
  <r>
    <x v="21"/>
    <s v="LBV"/>
    <x v="2"/>
    <x v="3"/>
    <x v="6"/>
    <n v="4606"/>
    <x v="2"/>
  </r>
  <r>
    <x v="22"/>
    <s v="TQM"/>
    <x v="0"/>
    <x v="0"/>
    <x v="6"/>
    <n v="13605"/>
    <x v="2"/>
  </r>
  <r>
    <x v="22"/>
    <s v="TQM"/>
    <x v="0"/>
    <x v="1"/>
    <x v="6"/>
    <n v="13192"/>
    <x v="2"/>
  </r>
  <r>
    <x v="22"/>
    <s v="TQM"/>
    <x v="0"/>
    <x v="2"/>
    <x v="6"/>
    <n v="10878"/>
    <x v="2"/>
  </r>
  <r>
    <x v="22"/>
    <s v="TQM"/>
    <x v="0"/>
    <x v="3"/>
    <x v="6"/>
    <n v="10638"/>
    <x v="2"/>
  </r>
  <r>
    <x v="22"/>
    <s v="TQM"/>
    <x v="1"/>
    <x v="0"/>
    <x v="6"/>
    <n v="242"/>
    <x v="2"/>
  </r>
  <r>
    <x v="22"/>
    <s v="TQM"/>
    <x v="1"/>
    <x v="1"/>
    <x v="6"/>
    <n v="343"/>
    <x v="2"/>
  </r>
  <r>
    <x v="22"/>
    <s v="TQM"/>
    <x v="1"/>
    <x v="2"/>
    <x v="6"/>
    <n v="293"/>
    <x v="2"/>
  </r>
  <r>
    <x v="22"/>
    <s v="TQM"/>
    <x v="1"/>
    <x v="3"/>
    <x v="6"/>
    <n v="264"/>
    <x v="2"/>
  </r>
  <r>
    <x v="22"/>
    <s v="TQM"/>
    <x v="2"/>
    <x v="0"/>
    <x v="6"/>
    <n v="6171"/>
    <x v="2"/>
  </r>
  <r>
    <x v="22"/>
    <s v="TQM"/>
    <x v="2"/>
    <x v="1"/>
    <x v="6"/>
    <n v="5522"/>
    <x v="2"/>
  </r>
  <r>
    <x v="22"/>
    <s v="TQM"/>
    <x v="2"/>
    <x v="2"/>
    <x v="6"/>
    <n v="5582"/>
    <x v="2"/>
  </r>
  <r>
    <x v="22"/>
    <s v="TQM"/>
    <x v="2"/>
    <x v="3"/>
    <x v="6"/>
    <n v="5293"/>
    <x v="2"/>
  </r>
  <r>
    <x v="23"/>
    <s v="GAZ"/>
    <x v="0"/>
    <x v="0"/>
    <x v="6"/>
    <n v="9510"/>
    <x v="2"/>
  </r>
  <r>
    <x v="23"/>
    <s v="GAZ"/>
    <x v="0"/>
    <x v="1"/>
    <x v="6"/>
    <n v="8257"/>
    <x v="2"/>
  </r>
  <r>
    <x v="23"/>
    <s v="GAZ"/>
    <x v="0"/>
    <x v="2"/>
    <x v="6"/>
    <n v="8773"/>
    <x v="2"/>
  </r>
  <r>
    <x v="23"/>
    <s v="GAZ"/>
    <x v="0"/>
    <x v="3"/>
    <x v="6"/>
    <n v="8989"/>
    <x v="2"/>
  </r>
  <r>
    <x v="23"/>
    <s v="GAZ"/>
    <x v="1"/>
    <x v="0"/>
    <x v="6"/>
    <n v="497"/>
    <x v="2"/>
  </r>
  <r>
    <x v="23"/>
    <s v="GAZ"/>
    <x v="1"/>
    <x v="1"/>
    <x v="6"/>
    <n v="356"/>
    <x v="2"/>
  </r>
  <r>
    <x v="23"/>
    <s v="GAZ"/>
    <x v="1"/>
    <x v="2"/>
    <x v="6"/>
    <n v="534"/>
    <x v="2"/>
  </r>
  <r>
    <x v="23"/>
    <s v="GAZ"/>
    <x v="1"/>
    <x v="3"/>
    <x v="6"/>
    <n v="520"/>
    <x v="2"/>
  </r>
  <r>
    <x v="23"/>
    <s v="GAZ"/>
    <x v="2"/>
    <x v="0"/>
    <x v="6"/>
    <n v="732"/>
    <x v="2"/>
  </r>
  <r>
    <x v="23"/>
    <s v="GAZ"/>
    <x v="2"/>
    <x v="1"/>
    <x v="6"/>
    <n v="124"/>
    <x v="2"/>
  </r>
  <r>
    <x v="23"/>
    <s v="GAZ"/>
    <x v="2"/>
    <x v="2"/>
    <x v="6"/>
    <n v="216"/>
    <x v="2"/>
  </r>
  <r>
    <x v="23"/>
    <s v="GAZ"/>
    <x v="2"/>
    <x v="3"/>
    <x v="6"/>
    <n v="474"/>
    <x v="2"/>
  </r>
  <r>
    <x v="24"/>
    <s v="TMA"/>
    <x v="0"/>
    <x v="0"/>
    <x v="6"/>
    <n v="19718"/>
    <x v="2"/>
  </r>
  <r>
    <x v="24"/>
    <s v="TMA"/>
    <x v="0"/>
    <x v="1"/>
    <x v="6"/>
    <n v="16933"/>
    <x v="2"/>
  </r>
  <r>
    <x v="24"/>
    <s v="TMA"/>
    <x v="0"/>
    <x v="2"/>
    <x v="6"/>
    <n v="16751"/>
    <x v="2"/>
  </r>
  <r>
    <x v="24"/>
    <s v="TMA"/>
    <x v="0"/>
    <x v="3"/>
    <x v="6"/>
    <n v="15126"/>
    <x v="2"/>
  </r>
  <r>
    <x v="24"/>
    <s v="TMA"/>
    <x v="2"/>
    <x v="0"/>
    <x v="6"/>
    <n v="478"/>
    <x v="2"/>
  </r>
  <r>
    <x v="24"/>
    <s v="TMA"/>
    <x v="2"/>
    <x v="1"/>
    <x v="6"/>
    <n v="-223"/>
    <x v="2"/>
  </r>
  <r>
    <x v="24"/>
    <s v="TMA"/>
    <x v="2"/>
    <x v="2"/>
    <x v="6"/>
    <n v="-546"/>
    <x v="2"/>
  </r>
  <r>
    <x v="24"/>
    <s v="TMA"/>
    <x v="2"/>
    <x v="3"/>
    <x v="6"/>
    <n v="-408"/>
    <x v="2"/>
  </r>
  <r>
    <x v="25"/>
    <s v="DHO"/>
    <x v="0"/>
    <x v="0"/>
    <x v="6"/>
    <n v="2792"/>
    <x v="2"/>
  </r>
  <r>
    <x v="25"/>
    <s v="DHO"/>
    <x v="0"/>
    <x v="1"/>
    <x v="6"/>
    <n v="3123"/>
    <x v="2"/>
  </r>
  <r>
    <x v="25"/>
    <s v="DHO"/>
    <x v="0"/>
    <x v="2"/>
    <x v="6"/>
    <n v="3117"/>
    <x v="2"/>
  </r>
  <r>
    <x v="25"/>
    <s v="DHO"/>
    <x v="0"/>
    <x v="3"/>
    <x v="6"/>
    <n v="3055"/>
    <x v="2"/>
  </r>
  <r>
    <x v="25"/>
    <s v="DHO"/>
    <x v="1"/>
    <x v="0"/>
    <x v="6"/>
    <n v="59"/>
    <x v="2"/>
  </r>
  <r>
    <x v="25"/>
    <s v="DHO"/>
    <x v="1"/>
    <x v="1"/>
    <x v="6"/>
    <n v="89"/>
    <x v="2"/>
  </r>
  <r>
    <x v="25"/>
    <s v="DHO"/>
    <x v="1"/>
    <x v="2"/>
    <x v="6"/>
    <n v="90"/>
    <x v="2"/>
  </r>
  <r>
    <x v="25"/>
    <s v="DHO"/>
    <x v="1"/>
    <x v="3"/>
    <x v="6"/>
    <n v="125"/>
    <x v="2"/>
  </r>
  <r>
    <x v="25"/>
    <s v="DHO"/>
    <x v="2"/>
    <x v="0"/>
    <x v="6"/>
    <n v="386"/>
    <x v="2"/>
  </r>
  <r>
    <x v="25"/>
    <s v="DHO"/>
    <x v="2"/>
    <x v="1"/>
    <x v="6"/>
    <n v="103"/>
    <x v="2"/>
  </r>
  <r>
    <x v="25"/>
    <s v="DHO"/>
    <x v="2"/>
    <x v="2"/>
    <x v="6"/>
    <n v="-234"/>
    <x v="2"/>
  </r>
  <r>
    <x v="25"/>
    <s v="DHO"/>
    <x v="2"/>
    <x v="3"/>
    <x v="6"/>
    <n v="-446"/>
    <x v="2"/>
  </r>
  <r>
    <x v="26"/>
    <s v="RIS"/>
    <x v="0"/>
    <x v="0"/>
    <x v="6"/>
    <n v="1036"/>
    <x v="2"/>
  </r>
  <r>
    <x v="26"/>
    <s v="RIS"/>
    <x v="0"/>
    <x v="1"/>
    <x v="6"/>
    <n v="1174"/>
    <x v="2"/>
  </r>
  <r>
    <x v="26"/>
    <s v="RIS"/>
    <x v="0"/>
    <x v="2"/>
    <x v="6"/>
    <n v="1264"/>
    <x v="2"/>
  </r>
  <r>
    <x v="26"/>
    <s v="RIS"/>
    <x v="0"/>
    <x v="3"/>
    <x v="6"/>
    <n v="1473"/>
    <x v="2"/>
  </r>
  <r>
    <x v="26"/>
    <s v="RIS"/>
    <x v="1"/>
    <x v="0"/>
    <x v="6"/>
    <n v="93"/>
    <x v="2"/>
  </r>
  <r>
    <x v="26"/>
    <s v="RIS"/>
    <x v="1"/>
    <x v="1"/>
    <x v="6"/>
    <n v="168"/>
    <x v="2"/>
  </r>
  <r>
    <x v="26"/>
    <s v="RIS"/>
    <x v="1"/>
    <x v="2"/>
    <x v="6"/>
    <n v="134"/>
    <x v="2"/>
  </r>
  <r>
    <x v="26"/>
    <s v="RIS"/>
    <x v="1"/>
    <x v="3"/>
    <x v="6"/>
    <n v="930"/>
    <x v="2"/>
  </r>
  <r>
    <x v="26"/>
    <s v="RIS"/>
    <x v="2"/>
    <x v="0"/>
    <x v="6"/>
    <n v="1443"/>
    <x v="2"/>
  </r>
  <r>
    <x v="26"/>
    <s v="RIS"/>
    <x v="2"/>
    <x v="1"/>
    <x v="6"/>
    <n v="1328"/>
    <x v="2"/>
  </r>
  <r>
    <x v="26"/>
    <s v="RIS"/>
    <x v="2"/>
    <x v="2"/>
    <x v="6"/>
    <n v="1086"/>
    <x v="2"/>
  </r>
  <r>
    <x v="26"/>
    <s v="RIS"/>
    <x v="2"/>
    <x v="3"/>
    <x v="6"/>
    <n v="1968"/>
    <x v="2"/>
  </r>
  <r>
    <x v="27"/>
    <s v="CMG"/>
    <x v="0"/>
    <x v="1"/>
    <x v="6"/>
    <n v="577"/>
    <x v="2"/>
  </r>
  <r>
    <x v="27"/>
    <s v="CMG"/>
    <x v="0"/>
    <x v="2"/>
    <x v="6"/>
    <n v="2327"/>
    <x v="2"/>
  </r>
  <r>
    <x v="27"/>
    <s v="CMG"/>
    <x v="0"/>
    <x v="3"/>
    <x v="6"/>
    <n v="2487"/>
    <x v="2"/>
  </r>
  <r>
    <x v="27"/>
    <s v="CMG"/>
    <x v="1"/>
    <x v="1"/>
    <x v="6"/>
    <n v="24"/>
    <x v="2"/>
  </r>
  <r>
    <x v="27"/>
    <s v="CMG"/>
    <x v="1"/>
    <x v="2"/>
    <x v="6"/>
    <n v="108"/>
    <x v="2"/>
  </r>
  <r>
    <x v="27"/>
    <s v="CMG"/>
    <x v="1"/>
    <x v="3"/>
    <x v="6"/>
    <n v="975"/>
    <x v="2"/>
  </r>
  <r>
    <x v="27"/>
    <s v="CMG"/>
    <x v="2"/>
    <x v="1"/>
    <x v="6"/>
    <n v="568"/>
    <x v="2"/>
  </r>
  <r>
    <x v="27"/>
    <s v="CMG"/>
    <x v="2"/>
    <x v="2"/>
    <x v="6"/>
    <n v="0"/>
    <x v="2"/>
  </r>
  <r>
    <x v="27"/>
    <s v="CMG"/>
    <x v="2"/>
    <x v="3"/>
    <x v="6"/>
    <n v="944"/>
    <x v="2"/>
  </r>
  <r>
    <x v="28"/>
    <s v="MSA"/>
    <x v="0"/>
    <x v="0"/>
    <x v="6"/>
    <n v="3948"/>
    <x v="2"/>
  </r>
  <r>
    <x v="28"/>
    <s v="MSA"/>
    <x v="0"/>
    <x v="1"/>
    <x v="6"/>
    <n v="4321"/>
    <x v="2"/>
  </r>
  <r>
    <x v="28"/>
    <s v="MSA"/>
    <x v="0"/>
    <x v="2"/>
    <x v="6"/>
    <n v="5008"/>
    <x v="2"/>
  </r>
  <r>
    <x v="28"/>
    <s v="MSA"/>
    <x v="0"/>
    <x v="3"/>
    <x v="6"/>
    <n v="5809"/>
    <x v="2"/>
  </r>
  <r>
    <x v="28"/>
    <s v="MSA"/>
    <x v="1"/>
    <x v="0"/>
    <x v="6"/>
    <n v="477"/>
    <x v="2"/>
  </r>
  <r>
    <x v="28"/>
    <s v="MSA"/>
    <x v="1"/>
    <x v="1"/>
    <x v="6"/>
    <n v="530"/>
    <x v="2"/>
  </r>
  <r>
    <x v="28"/>
    <s v="MSA"/>
    <x v="1"/>
    <x v="2"/>
    <x v="6"/>
    <n v="715"/>
    <x v="2"/>
  </r>
  <r>
    <x v="28"/>
    <s v="MSA"/>
    <x v="1"/>
    <x v="3"/>
    <x v="6"/>
    <n v="2415"/>
    <x v="2"/>
  </r>
  <r>
    <x v="28"/>
    <s v="MSA"/>
    <x v="2"/>
    <x v="0"/>
    <x v="6"/>
    <n v="342"/>
    <x v="2"/>
  </r>
  <r>
    <x v="28"/>
    <s v="MSA"/>
    <x v="2"/>
    <x v="1"/>
    <x v="6"/>
    <n v="24"/>
    <x v="2"/>
  </r>
  <r>
    <x v="28"/>
    <s v="MSA"/>
    <x v="2"/>
    <x v="2"/>
    <x v="6"/>
    <n v="-792"/>
    <x v="2"/>
  </r>
  <r>
    <x v="28"/>
    <s v="MSA"/>
    <x v="2"/>
    <x v="3"/>
    <x v="6"/>
    <n v="-753"/>
    <x v="2"/>
  </r>
  <r>
    <x v="29"/>
    <s v="HPS"/>
    <x v="0"/>
    <x v="0"/>
    <x v="6"/>
    <n v="1004"/>
    <x v="2"/>
  </r>
  <r>
    <x v="29"/>
    <s v="HPS"/>
    <x v="0"/>
    <x v="1"/>
    <x v="6"/>
    <n v="1175"/>
    <x v="2"/>
  </r>
  <r>
    <x v="29"/>
    <s v="HPS"/>
    <x v="0"/>
    <x v="2"/>
    <x v="6"/>
    <n v="1249"/>
    <x v="2"/>
  </r>
  <r>
    <x v="29"/>
    <s v="HPS"/>
    <x v="0"/>
    <x v="3"/>
    <x v="6"/>
    <n v="1538"/>
    <x v="2"/>
  </r>
  <r>
    <x v="29"/>
    <s v="HPS"/>
    <x v="2"/>
    <x v="0"/>
    <x v="6"/>
    <n v="159"/>
    <x v="2"/>
  </r>
  <r>
    <x v="29"/>
    <s v="HPS"/>
    <x v="2"/>
    <x v="1"/>
    <x v="6"/>
    <n v="87"/>
    <x v="2"/>
  </r>
  <r>
    <x v="29"/>
    <s v="HPS"/>
    <x v="2"/>
    <x v="2"/>
    <x v="6"/>
    <n v="551"/>
    <x v="2"/>
  </r>
  <r>
    <x v="29"/>
    <s v="HPS"/>
    <x v="2"/>
    <x v="3"/>
    <x v="6"/>
    <n v="423"/>
    <x v="2"/>
  </r>
  <r>
    <x v="30"/>
    <s v="MNG"/>
    <x v="0"/>
    <x v="0"/>
    <x v="6"/>
    <n v="9645"/>
    <x v="2"/>
  </r>
  <r>
    <x v="30"/>
    <s v="MNG"/>
    <x v="0"/>
    <x v="1"/>
    <x v="6"/>
    <n v="7508"/>
    <x v="2"/>
  </r>
  <r>
    <x v="30"/>
    <s v="MNG"/>
    <x v="0"/>
    <x v="2"/>
    <x v="6"/>
    <n v="8860"/>
    <x v="2"/>
  </r>
  <r>
    <x v="30"/>
    <s v="MNG"/>
    <x v="0"/>
    <x v="3"/>
    <x v="6"/>
    <n v="9745"/>
    <x v="2"/>
  </r>
  <r>
    <x v="30"/>
    <s v="MNG"/>
    <x v="1"/>
    <x v="0"/>
    <x v="6"/>
    <n v="2174"/>
    <x v="2"/>
  </r>
  <r>
    <x v="30"/>
    <s v="MNG"/>
    <x v="1"/>
    <x v="1"/>
    <x v="6"/>
    <n v="2752"/>
    <x v="2"/>
  </r>
  <r>
    <x v="30"/>
    <s v="MNG"/>
    <x v="1"/>
    <x v="2"/>
    <x v="6"/>
    <n v="7252"/>
    <x v="2"/>
  </r>
  <r>
    <x v="30"/>
    <s v="MNG"/>
    <x v="1"/>
    <x v="3"/>
    <x v="6"/>
    <n v="7359"/>
    <x v="2"/>
  </r>
  <r>
    <x v="30"/>
    <s v="MNG"/>
    <x v="2"/>
    <x v="0"/>
    <x v="6"/>
    <n v="4347"/>
    <x v="2"/>
  </r>
  <r>
    <x v="30"/>
    <s v="MNG"/>
    <x v="2"/>
    <x v="1"/>
    <x v="6"/>
    <n v="7588"/>
    <x v="2"/>
  </r>
  <r>
    <x v="30"/>
    <s v="MNG"/>
    <x v="2"/>
    <x v="2"/>
    <x v="6"/>
    <n v="10272"/>
    <x v="2"/>
  </r>
  <r>
    <x v="30"/>
    <s v="MNG"/>
    <x v="2"/>
    <x v="3"/>
    <x v="6"/>
    <n v="12674"/>
    <x v="2"/>
  </r>
  <r>
    <x v="31"/>
    <s v="CMT"/>
    <x v="0"/>
    <x v="0"/>
    <x v="6"/>
    <n v="589"/>
    <x v="2"/>
  </r>
  <r>
    <x v="31"/>
    <s v="CMT"/>
    <x v="0"/>
    <x v="1"/>
    <x v="6"/>
    <n v="590"/>
    <x v="2"/>
  </r>
  <r>
    <x v="31"/>
    <s v="CMT"/>
    <x v="0"/>
    <x v="2"/>
    <x v="6"/>
    <n v="586"/>
    <x v="2"/>
  </r>
  <r>
    <x v="31"/>
    <s v="CMT"/>
    <x v="0"/>
    <x v="3"/>
    <x v="6"/>
    <n v="690"/>
    <x v="2"/>
  </r>
  <r>
    <x v="31"/>
    <s v="CMT"/>
    <x v="1"/>
    <x v="0"/>
    <x v="6"/>
    <n v="92"/>
    <x v="2"/>
  </r>
  <r>
    <x v="31"/>
    <s v="CMT"/>
    <x v="1"/>
    <x v="1"/>
    <x v="6"/>
    <n v="107"/>
    <x v="2"/>
  </r>
  <r>
    <x v="31"/>
    <s v="CMT"/>
    <x v="1"/>
    <x v="2"/>
    <x v="6"/>
    <n v="103"/>
    <x v="2"/>
  </r>
  <r>
    <x v="31"/>
    <s v="CMT"/>
    <x v="1"/>
    <x v="3"/>
    <x v="6"/>
    <n v="62"/>
    <x v="2"/>
  </r>
  <r>
    <x v="31"/>
    <s v="CMT"/>
    <x v="2"/>
    <x v="0"/>
    <x v="6"/>
    <n v="282"/>
    <x v="2"/>
  </r>
  <r>
    <x v="31"/>
    <s v="CMT"/>
    <x v="2"/>
    <x v="1"/>
    <x v="6"/>
    <n v="400"/>
    <x v="2"/>
  </r>
  <r>
    <x v="31"/>
    <s v="CMT"/>
    <x v="2"/>
    <x v="2"/>
    <x v="6"/>
    <n v="231"/>
    <x v="2"/>
  </r>
  <r>
    <x v="31"/>
    <s v="CMT"/>
    <x v="2"/>
    <x v="3"/>
    <x v="6"/>
    <n v="70"/>
    <x v="2"/>
  </r>
  <r>
    <x v="32"/>
    <s v="SMI"/>
    <x v="0"/>
    <x v="0"/>
    <x v="6"/>
    <n v="798"/>
    <x v="2"/>
  </r>
  <r>
    <x v="32"/>
    <s v="SMI"/>
    <x v="0"/>
    <x v="1"/>
    <x v="6"/>
    <n v="1066"/>
    <x v="2"/>
  </r>
  <r>
    <x v="32"/>
    <s v="SMI"/>
    <x v="0"/>
    <x v="2"/>
    <x v="6"/>
    <n v="1053"/>
    <x v="2"/>
  </r>
  <r>
    <x v="32"/>
    <s v="SMI"/>
    <x v="0"/>
    <x v="3"/>
    <x v="6"/>
    <n v="1209"/>
    <x v="2"/>
  </r>
  <r>
    <x v="32"/>
    <s v="SMI"/>
    <x v="1"/>
    <x v="0"/>
    <x v="6"/>
    <n v="221"/>
    <x v="2"/>
  </r>
  <r>
    <x v="32"/>
    <s v="SMI"/>
    <x v="1"/>
    <x v="1"/>
    <x v="6"/>
    <n v="175"/>
    <x v="2"/>
  </r>
  <r>
    <x v="32"/>
    <s v="SMI"/>
    <x v="1"/>
    <x v="2"/>
    <x v="6"/>
    <n v="213"/>
    <x v="2"/>
  </r>
  <r>
    <x v="32"/>
    <s v="SMI"/>
    <x v="1"/>
    <x v="3"/>
    <x v="6"/>
    <n v="227"/>
    <x v="2"/>
  </r>
  <r>
    <x v="32"/>
    <s v="SMI"/>
    <x v="2"/>
    <x v="0"/>
    <x v="6"/>
    <n v="56"/>
    <x v="2"/>
  </r>
  <r>
    <x v="32"/>
    <s v="SMI"/>
    <x v="2"/>
    <x v="1"/>
    <x v="6"/>
    <n v="-340"/>
    <x v="2"/>
  </r>
  <r>
    <x v="32"/>
    <s v="SMI"/>
    <x v="2"/>
    <x v="2"/>
    <x v="6"/>
    <n v="-312"/>
    <x v="2"/>
  </r>
  <r>
    <x v="32"/>
    <s v="SMI"/>
    <x v="2"/>
    <x v="3"/>
    <x v="6"/>
    <n v="0"/>
    <x v="2"/>
  </r>
  <r>
    <x v="33"/>
    <s v="IAM"/>
    <x v="0"/>
    <x v="0"/>
    <x v="6"/>
    <n v="35731"/>
    <x v="2"/>
  </r>
  <r>
    <x v="33"/>
    <s v="IAM"/>
    <x v="0"/>
    <x v="1"/>
    <x v="6"/>
    <n v="36785"/>
    <x v="2"/>
  </r>
  <r>
    <x v="33"/>
    <s v="IAM"/>
    <x v="0"/>
    <x v="2"/>
    <x v="6"/>
    <n v="36699"/>
    <x v="2"/>
  </r>
  <r>
    <x v="33"/>
    <s v="IAM"/>
    <x v="0"/>
    <x v="3"/>
    <x v="6"/>
    <n v="36675"/>
    <x v="2"/>
  </r>
  <r>
    <x v="33"/>
    <s v="IAM"/>
    <x v="1"/>
    <x v="0"/>
    <x v="6"/>
    <n v="7572"/>
    <x v="2"/>
  </r>
  <r>
    <x v="33"/>
    <s v="IAM"/>
    <x v="1"/>
    <x v="1"/>
    <x v="6"/>
    <n v="7839"/>
    <x v="2"/>
  </r>
  <r>
    <x v="33"/>
    <s v="IAM"/>
    <x v="1"/>
    <x v="2"/>
    <x v="6"/>
    <n v="11165"/>
    <x v="2"/>
  </r>
  <r>
    <x v="33"/>
    <s v="IAM"/>
    <x v="1"/>
    <x v="3"/>
    <x v="6"/>
    <n v="10891"/>
    <x v="2"/>
  </r>
  <r>
    <x v="33"/>
    <s v="IAM"/>
    <x v="2"/>
    <x v="0"/>
    <x v="6"/>
    <n v="16355"/>
    <x v="2"/>
  </r>
  <r>
    <x v="33"/>
    <s v="IAM"/>
    <x v="2"/>
    <x v="1"/>
    <x v="6"/>
    <n v="16367"/>
    <x v="2"/>
  </r>
  <r>
    <x v="33"/>
    <s v="IAM"/>
    <x v="2"/>
    <x v="2"/>
    <x v="6"/>
    <n v="22436"/>
    <x v="2"/>
  </r>
  <r>
    <x v="33"/>
    <s v="IAM"/>
    <x v="2"/>
    <x v="3"/>
    <x v="6"/>
    <n v="17610"/>
    <x v="2"/>
  </r>
  <r>
    <x v="34"/>
    <s v="ADI"/>
    <x v="0"/>
    <x v="0"/>
    <x v="6"/>
    <n v="1584"/>
    <x v="2"/>
  </r>
  <r>
    <x v="34"/>
    <s v="ADI"/>
    <x v="0"/>
    <x v="1"/>
    <x v="6"/>
    <n v="2018"/>
    <x v="2"/>
  </r>
  <r>
    <x v="34"/>
    <s v="ADI"/>
    <x v="0"/>
    <x v="2"/>
    <x v="6"/>
    <n v="2364"/>
    <x v="2"/>
  </r>
  <r>
    <x v="34"/>
    <s v="ADI"/>
    <x v="0"/>
    <x v="3"/>
    <x v="6"/>
    <n v="2432"/>
    <x v="2"/>
  </r>
  <r>
    <x v="34"/>
    <s v="ADI"/>
    <x v="2"/>
    <x v="0"/>
    <x v="6"/>
    <n v="2128"/>
    <x v="2"/>
  </r>
  <r>
    <x v="34"/>
    <s v="ADI"/>
    <x v="2"/>
    <x v="1"/>
    <x v="6"/>
    <n v="1713"/>
    <x v="2"/>
  </r>
  <r>
    <x v="34"/>
    <s v="ADI"/>
    <x v="2"/>
    <x v="2"/>
    <x v="6"/>
    <n v="1137"/>
    <x v="2"/>
  </r>
  <r>
    <x v="34"/>
    <s v="ADI"/>
    <x v="2"/>
    <x v="3"/>
    <x v="6"/>
    <n v="1303"/>
    <x v="2"/>
  </r>
  <r>
    <x v="35"/>
    <s v="ADH"/>
    <x v="0"/>
    <x v="0"/>
    <x v="6"/>
    <n v="1394"/>
    <x v="2"/>
  </r>
  <r>
    <x v="35"/>
    <s v="ADH"/>
    <x v="0"/>
    <x v="1"/>
    <x v="6"/>
    <n v="2099"/>
    <x v="2"/>
  </r>
  <r>
    <x v="35"/>
    <s v="ADH"/>
    <x v="0"/>
    <x v="2"/>
    <x v="6"/>
    <n v="2589"/>
    <x v="2"/>
  </r>
  <r>
    <x v="35"/>
    <s v="ADH"/>
    <x v="0"/>
    <x v="3"/>
    <x v="6"/>
    <n v="2709"/>
    <x v="2"/>
  </r>
  <r>
    <x v="35"/>
    <s v="ADH"/>
    <x v="2"/>
    <x v="0"/>
    <x v="6"/>
    <n v="4600"/>
    <x v="2"/>
  </r>
  <r>
    <x v="35"/>
    <s v="ADH"/>
    <x v="2"/>
    <x v="1"/>
    <x v="6"/>
    <n v="4300"/>
    <x v="2"/>
  </r>
  <r>
    <x v="35"/>
    <s v="ADH"/>
    <x v="2"/>
    <x v="2"/>
    <x v="6"/>
    <n v="4100"/>
    <x v="2"/>
  </r>
  <r>
    <x v="35"/>
    <s v="ADH"/>
    <x v="2"/>
    <x v="3"/>
    <x v="6"/>
    <n v="0"/>
    <x v="2"/>
  </r>
  <r>
    <x v="36"/>
    <s v="RDS"/>
    <x v="0"/>
    <x v="0"/>
    <x v="6"/>
    <n v="536"/>
    <x v="2"/>
  </r>
  <r>
    <x v="36"/>
    <s v="RDS"/>
    <x v="0"/>
    <x v="1"/>
    <x v="6"/>
    <n v="420"/>
    <x v="2"/>
  </r>
  <r>
    <x v="36"/>
    <s v="RDS"/>
    <x v="0"/>
    <x v="2"/>
    <x v="6"/>
    <n v="136"/>
    <x v="2"/>
  </r>
  <r>
    <x v="36"/>
    <s v="RDS"/>
    <x v="0"/>
    <x v="3"/>
    <x v="6"/>
    <n v="474"/>
    <x v="2"/>
  </r>
  <r>
    <x v="36"/>
    <s v="RDS"/>
    <x v="2"/>
    <x v="0"/>
    <x v="6"/>
    <n v="2327"/>
    <x v="2"/>
  </r>
  <r>
    <x v="36"/>
    <s v="RDS"/>
    <x v="2"/>
    <x v="1"/>
    <x v="6"/>
    <n v="1733"/>
    <x v="2"/>
  </r>
  <r>
    <x v="36"/>
    <s v="RDS"/>
    <x v="2"/>
    <x v="2"/>
    <x v="6"/>
    <n v="1710"/>
    <x v="2"/>
  </r>
  <r>
    <x v="36"/>
    <s v="RDS"/>
    <x v="2"/>
    <x v="3"/>
    <x v="6"/>
    <n v="1775"/>
    <x v="2"/>
  </r>
  <r>
    <x v="37"/>
    <s v="AKT"/>
    <x v="0"/>
    <x v="0"/>
    <x v="6"/>
    <n v="1034"/>
    <x v="2"/>
  </r>
  <r>
    <x v="37"/>
    <s v="AKT"/>
    <x v="0"/>
    <x v="1"/>
    <x v="6"/>
    <n v="1912"/>
    <x v="2"/>
  </r>
  <r>
    <x v="37"/>
    <s v="AKT"/>
    <x v="0"/>
    <x v="2"/>
    <x v="6"/>
    <n v="2952"/>
    <x v="2"/>
  </r>
  <r>
    <x v="37"/>
    <s v="AKT"/>
    <x v="0"/>
    <x v="3"/>
    <x v="6"/>
    <n v="4409"/>
    <x v="2"/>
  </r>
  <r>
    <x v="37"/>
    <s v="AKT"/>
    <x v="1"/>
    <x v="0"/>
    <x v="6"/>
    <n v="1108"/>
    <x v="2"/>
  </r>
  <r>
    <x v="37"/>
    <s v="AKT"/>
    <x v="1"/>
    <x v="1"/>
    <x v="6"/>
    <n v="1061"/>
    <x v="2"/>
  </r>
  <r>
    <x v="37"/>
    <s v="AKT"/>
    <x v="1"/>
    <x v="2"/>
    <x v="6"/>
    <n v="1689"/>
    <x v="2"/>
  </r>
  <r>
    <x v="37"/>
    <s v="AKT"/>
    <x v="1"/>
    <x v="3"/>
    <x v="6"/>
    <n v="2055"/>
    <x v="2"/>
  </r>
  <r>
    <x v="37"/>
    <s v="AKT"/>
    <x v="2"/>
    <x v="1"/>
    <x v="6"/>
    <n v="2022"/>
    <x v="2"/>
  </r>
  <r>
    <x v="37"/>
    <s v="AKT"/>
    <x v="2"/>
    <x v="2"/>
    <x v="6"/>
    <n v="1872"/>
    <x v="2"/>
  </r>
  <r>
    <x v="37"/>
    <s v="AKT"/>
    <x v="2"/>
    <x v="3"/>
    <x v="6"/>
    <n v="4246"/>
    <x v="2"/>
  </r>
  <r>
    <x v="38"/>
    <s v="VCN"/>
    <x v="0"/>
    <x v="2"/>
    <x v="6"/>
    <n v="835"/>
    <x v="2"/>
  </r>
  <r>
    <x v="38"/>
    <s v="VCN"/>
    <x v="0"/>
    <x v="3"/>
    <x v="6"/>
    <n v="1085"/>
    <x v="2"/>
  </r>
  <r>
    <x v="38"/>
    <s v="VCN"/>
    <x v="1"/>
    <x v="2"/>
    <x v="6"/>
    <n v="3"/>
    <x v="2"/>
  </r>
  <r>
    <x v="38"/>
    <s v="VCN"/>
    <x v="1"/>
    <x v="3"/>
    <x v="6"/>
    <n v="32"/>
    <x v="2"/>
  </r>
  <r>
    <x v="38"/>
    <s v="VCN"/>
    <x v="2"/>
    <x v="2"/>
    <x v="6"/>
    <n v="299"/>
    <x v="2"/>
  </r>
  <r>
    <x v="38"/>
    <s v="VCN"/>
    <x v="2"/>
    <x v="3"/>
    <x v="6"/>
    <n v="-315"/>
    <x v="2"/>
  </r>
  <r>
    <x v="39"/>
    <s v="SOT"/>
    <x v="0"/>
    <x v="0"/>
    <x v="6"/>
    <n v="2272"/>
    <x v="2"/>
  </r>
  <r>
    <x v="39"/>
    <s v="SOT"/>
    <x v="0"/>
    <x v="1"/>
    <x v="6"/>
    <n v="2455"/>
    <x v="2"/>
  </r>
  <r>
    <x v="39"/>
    <s v="SOT"/>
    <x v="0"/>
    <x v="2"/>
    <x v="6"/>
    <n v="4144"/>
    <x v="2"/>
  </r>
  <r>
    <x v="39"/>
    <s v="SOT"/>
    <x v="0"/>
    <x v="3"/>
    <x v="6"/>
    <n v="3227"/>
    <x v="2"/>
  </r>
  <r>
    <x v="39"/>
    <s v="SOT"/>
    <x v="1"/>
    <x v="0"/>
    <x v="6"/>
    <n v="55"/>
    <x v="2"/>
  </r>
  <r>
    <x v="39"/>
    <s v="SOT"/>
    <x v="1"/>
    <x v="1"/>
    <x v="6"/>
    <n v="100"/>
    <x v="2"/>
  </r>
  <r>
    <x v="39"/>
    <s v="SOT"/>
    <x v="1"/>
    <x v="2"/>
    <x v="6"/>
    <n v="74"/>
    <x v="2"/>
  </r>
  <r>
    <x v="39"/>
    <s v="SOT"/>
    <x v="1"/>
    <x v="3"/>
    <x v="6"/>
    <n v="85"/>
    <x v="2"/>
  </r>
  <r>
    <x v="39"/>
    <s v="SOT"/>
    <x v="2"/>
    <x v="0"/>
    <x v="6"/>
    <n v="275"/>
    <x v="2"/>
  </r>
  <r>
    <x v="39"/>
    <s v="SOT"/>
    <x v="2"/>
    <x v="1"/>
    <x v="6"/>
    <n v="443"/>
    <x v="2"/>
  </r>
  <r>
    <x v="39"/>
    <s v="SOT"/>
    <x v="2"/>
    <x v="2"/>
    <x v="6"/>
    <n v="507"/>
    <x v="2"/>
  </r>
  <r>
    <x v="39"/>
    <s v="SOT"/>
    <x v="2"/>
    <x v="3"/>
    <x v="6"/>
    <n v="738"/>
    <x v="2"/>
  </r>
  <r>
    <x v="40"/>
    <s v="ARD"/>
    <x v="0"/>
    <x v="0"/>
    <x v="6"/>
    <n v="486"/>
    <x v="2"/>
  </r>
  <r>
    <x v="40"/>
    <s v="ARD"/>
    <x v="0"/>
    <x v="1"/>
    <x v="6"/>
    <n v="583"/>
    <x v="2"/>
  </r>
  <r>
    <x v="40"/>
    <s v="ARD"/>
    <x v="0"/>
    <x v="2"/>
    <x v="6"/>
    <n v="606"/>
    <x v="2"/>
  </r>
  <r>
    <x v="40"/>
    <s v="ARD"/>
    <x v="0"/>
    <x v="3"/>
    <x v="6"/>
    <n v="646"/>
    <x v="2"/>
  </r>
  <r>
    <x v="40"/>
    <s v="ARD"/>
    <x v="1"/>
    <x v="0"/>
    <x v="6"/>
    <n v="746"/>
    <x v="2"/>
  </r>
  <r>
    <x v="40"/>
    <s v="ARD"/>
    <x v="1"/>
    <x v="1"/>
    <x v="6"/>
    <n v="474"/>
    <x v="2"/>
  </r>
  <r>
    <x v="40"/>
    <s v="ARD"/>
    <x v="1"/>
    <x v="2"/>
    <x v="6"/>
    <n v="457"/>
    <x v="2"/>
  </r>
  <r>
    <x v="40"/>
    <s v="ARD"/>
    <x v="1"/>
    <x v="3"/>
    <x v="6"/>
    <n v="300"/>
    <x v="2"/>
  </r>
  <r>
    <x v="40"/>
    <s v="ARD"/>
    <x v="2"/>
    <x v="0"/>
    <x v="6"/>
    <n v="2816"/>
    <x v="2"/>
  </r>
  <r>
    <x v="40"/>
    <s v="ARD"/>
    <x v="2"/>
    <x v="1"/>
    <x v="6"/>
    <n v="2670"/>
    <x v="2"/>
  </r>
  <r>
    <x v="40"/>
    <s v="ARD"/>
    <x v="2"/>
    <x v="2"/>
    <x v="6"/>
    <n v="2529"/>
    <x v="2"/>
  </r>
  <r>
    <x v="40"/>
    <s v="ARD"/>
    <x v="2"/>
    <x v="3"/>
    <x v="6"/>
    <n v="2805"/>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942F44-7B75-4F72-8CF5-E73F1E251000}" name="Tableau croisé dynamique6" cacheId="0"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A5:B19" firstHeaderRow="1" firstDataRow="1" firstDataCol="1" rowPageCount="2" colPageCount="1"/>
  <pivotFields count="7">
    <pivotField axis="axisRow" showAll="0">
      <items count="42">
        <item h="1" x="23"/>
        <item x="37"/>
        <item h="1" x="34"/>
        <item h="1" x="40"/>
        <item h="1" x="0"/>
        <item h="1" x="2"/>
        <item h="1" x="3"/>
        <item h="1" x="4"/>
        <item h="1" x="5"/>
        <item h="1" x="11"/>
        <item h="1" x="6"/>
        <item h="1" x="7"/>
        <item h="1" x="8"/>
        <item h="1" x="27"/>
        <item h="1" x="12"/>
        <item h="1" x="25"/>
        <item h="1" x="35"/>
        <item h="1" x="9"/>
        <item h="1" x="29"/>
        <item h="1" x="33"/>
        <item h="1" x="16"/>
        <item h="1" x="21"/>
        <item h="1" x="17"/>
        <item h="1" x="13"/>
        <item h="1" x="30"/>
        <item h="1" x="31"/>
        <item h="1" x="14"/>
        <item h="1" x="36"/>
        <item h="1" x="26"/>
        <item h="1" x="10"/>
        <item h="1" x="20"/>
        <item h="1" x="32"/>
        <item h="1" x="15"/>
        <item h="1" x="28"/>
        <item h="1" x="18"/>
        <item h="1" x="39"/>
        <item h="1" x="22"/>
        <item h="1" x="19"/>
        <item h="1" x="24"/>
        <item h="1" x="38"/>
        <item h="1" x="1"/>
        <item t="default"/>
      </items>
    </pivotField>
    <pivotField showAll="0"/>
    <pivotField axis="axisPage" multipleItemSelectionAllowed="1" showAll="0">
      <items count="4">
        <item x="0"/>
        <item h="1" x="1"/>
        <item h="1" x="2"/>
        <item t="default"/>
      </items>
    </pivotField>
    <pivotField axis="axisRow" showAll="0">
      <items count="5">
        <item x="0"/>
        <item x="1"/>
        <item x="2"/>
        <item x="3"/>
        <item t="default"/>
      </items>
    </pivotField>
    <pivotField axis="axisRow" showAll="0">
      <items count="8">
        <item x="6"/>
        <item x="4"/>
        <item x="5"/>
        <item x="0"/>
        <item x="1"/>
        <item x="2"/>
        <item x="3"/>
        <item t="default"/>
      </items>
    </pivotField>
    <pivotField dataField="1" showAll="0"/>
    <pivotField axis="axisPage" multipleItemSelectionAllowed="1" showAll="0">
      <items count="4">
        <item h="1" x="2"/>
        <item x="1"/>
        <item h="1" x="0"/>
        <item t="default"/>
      </items>
    </pivotField>
  </pivotFields>
  <rowFields count="3">
    <field x="0"/>
    <field x="3"/>
    <field x="4"/>
  </rowFields>
  <rowItems count="14">
    <i>
      <x v="1"/>
    </i>
    <i r="1">
      <x/>
    </i>
    <i r="2">
      <x v="1"/>
    </i>
    <i r="2">
      <x v="2"/>
    </i>
    <i r="1">
      <x v="1"/>
    </i>
    <i r="2">
      <x v="1"/>
    </i>
    <i r="2">
      <x v="2"/>
    </i>
    <i r="1">
      <x v="2"/>
    </i>
    <i r="2">
      <x v="1"/>
    </i>
    <i r="2">
      <x v="2"/>
    </i>
    <i r="1">
      <x v="3"/>
    </i>
    <i r="2">
      <x v="1"/>
    </i>
    <i r="2">
      <x v="2"/>
    </i>
    <i t="grand">
      <x/>
    </i>
  </rowItems>
  <colItems count="1">
    <i/>
  </colItems>
  <pageFields count="2">
    <pageField fld="6" hier="-1"/>
    <pageField fld="2" hier="-1"/>
  </pageFields>
  <dataFields count="1">
    <dataField name="Somme de Valeur"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onnéesExternes_1" connectionId="1" xr16:uid="{F4C25677-E64B-4E78-9D12-03CB0C3518D3}" autoFormatId="16" applyNumberFormats="0" applyBorderFormats="0" applyFontFormats="0" applyPatternFormats="0" applyAlignmentFormats="0" applyWidthHeightFormats="0">
  <queryTableRefresh nextId="8">
    <queryTableFields count="7">
      <queryTableField id="1" name="Société" tableColumnId="1"/>
      <queryTableField id="2" name="Ticker" tableColumnId="2"/>
      <queryTableField id="3" name="TypeValeur" tableColumnId="3"/>
      <queryTableField id="4" name="Année" tableColumnId="4"/>
      <queryTableField id="5" name="Période" tableColumnId="5"/>
      <queryTableField id="6" name="Valeur" tableColumnId="6"/>
      <queryTableField id="7" name="TypePériode" tableColumnId="7"/>
    </queryTableFields>
  </queryTableRefresh>
</queryTable>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3AF457A-6CCA-42C8-9D8E-4AFAC13CC1EF}" name="Table_Trims" displayName="Table_Trims" ref="A1:W123" totalsRowCount="1" headerRowDxfId="67" dataDxfId="66" tableBorderDxfId="65" dataCellStyle="Milliers">
  <autoFilter ref="A1:W122" xr:uid="{93AF457A-6CCA-42C8-9D8E-4AFAC13CC1EF}"/>
  <tableColumns count="23">
    <tableColumn id="1" xr3:uid="{50C67AF0-CF82-4CC8-9375-562924BDF288}" name="Mmad" dataDxfId="64" totalsRowDxfId="22" dataCellStyle="Milliers"/>
    <tableColumn id="2" xr3:uid="{6A237940-6FBC-4182-A65E-22A9EF4A84B0}" name="Ticker" dataDxfId="63" totalsRowDxfId="21" dataCellStyle="Milliers"/>
    <tableColumn id="3" xr3:uid="{632746C7-7310-4D08-9EEB-97F69F290145}" name="TypeValeur" dataDxfId="62" totalsRowDxfId="20" dataCellStyle="Milliers"/>
    <tableColumn id="4" xr3:uid="{B8978D02-7C05-44FC-B889-53EC0D7F303A}" name="2022_T1" totalsRowFunction="custom" totalsRowDxfId="19">
      <totalsRowFormula>D120+D116+D113+D110+D107+D105+D103+D99+D95+D92+D89+D86+D82+D78+D74+D70+D66+D54+D55+D50+D47+D44+D41+D38+D36+D33+D26+D23+D20+D18+D16+SUM(D3:D14)</totalsRowFormula>
    </tableColumn>
    <tableColumn id="5" xr3:uid="{4C25D231-93B2-43A1-BDEF-94AE97EE1183}" name="2022_T2" totalsRowFunction="custom" totalsRowDxfId="18">
      <totalsRowFormula>E120+E116+E113+E110+E107+E105+E103+E99+E95+E92+E89+E86+E82+E78+E74+E70+E66+E54+E55+E50+E47+E44+E41+E38+E36+E33+E26+E23+E20+E18+E16+SUM(E3:E14)</totalsRowFormula>
    </tableColumn>
    <tableColumn id="6" xr3:uid="{9BB49C35-8D6E-4B2C-9730-E5CBCEA7F6AE}" name="2022_T3" totalsRowFunction="custom" totalsRowDxfId="17">
      <totalsRowFormula>F120+F116+F113+F110+F107+F105+F103+F99+F95+F92+F89+F86+F82+F78+F74+F70+F66+F54+F55+F50+F47+F44+F41+F38+F36+F33+F26+F23+F20+F18+F16+SUM(F3:F14)</totalsRowFormula>
    </tableColumn>
    <tableColumn id="7" xr3:uid="{DBAB649F-74E3-497F-8969-23B6C87A764A}" name="2022_T4" totalsRowFunction="custom" totalsRowDxfId="16">
      <totalsRowFormula>G120+G116+G113+G110+G107+G105+G103+G99+G95+G92+G89+G86+G82+G78+G74+G70+G66+G54+G55+G50+G47+G44+G41+G38+G36+G33+G26+G23+G20+G18+G16+SUM(G3:G14)</totalsRowFormula>
    </tableColumn>
    <tableColumn id="8" xr3:uid="{D8B7BC09-69E8-4E60-A867-9B3E8A97F770}" name="2023_T1" totalsRowFunction="custom" totalsRowDxfId="15">
      <totalsRowFormula>H120+H116+H113+H110+H107+H105+H103+H99+H95+H92+H89+H86+H82+H78+H74+H70+H66+H54+H55+H50+H47+H44+H41+H38+H36+H33+H26+H23+H20+H18+H16+SUM(H3:H14)</totalsRowFormula>
    </tableColumn>
    <tableColumn id="9" xr3:uid="{537F17A8-F373-47D8-BA46-00E3438B46B9}" name="2023_T2" totalsRowFunction="custom" totalsRowDxfId="14">
      <totalsRowFormula>I120+I116+I113+I110+I107+I105+I103+I99+I95+I92+I89+I86+I82+I78+I74+I70+I66+I54+I55+I50+I47+I44+I41+I38+I36+I33+I26+I23+I20+I18+I16+SUM(I3:I14)</totalsRowFormula>
    </tableColumn>
    <tableColumn id="10" xr3:uid="{4D5DC3C8-C150-44F6-B6ED-46FAFA6B7102}" name="2023_T3" totalsRowFunction="custom" dataDxfId="61" totalsRowDxfId="13" dataCellStyle="Milliers">
      <totalsRowFormula>J120+J116+J113+J110+J107+J105+J103+J99+J95+J92+J89+J86+J82+J78+J74+J70+J66+J54+J55+J50+J47+J44+J41+J38+J36+J33+J26+J23+J20+J18+J16+SUM(J3:J14)</totalsRowFormula>
    </tableColumn>
    <tableColumn id="11" xr3:uid="{9F4EEDB3-46DB-4697-B764-56E86A0E9A7E}" name="2023_T4" totalsRowFunction="custom" dataDxfId="60" totalsRowDxfId="12" dataCellStyle="Milliers">
      <totalsRowFormula>K120+K116+K113+K110+K107+K105+K103+K99+K95+K92+K89+K86+K82+K78+K74+K70+K66+K54+K55+K50+K47+K44+K41+K38+K36+K33+K26+K23+K20+K18+K16+SUM(K3:K14)</totalsRowFormula>
    </tableColumn>
    <tableColumn id="12" xr3:uid="{CD10D810-7D26-4B9E-B779-97DC2006BF7E}" name="2024_T1" totalsRowFunction="custom" dataDxfId="59" totalsRowDxfId="11" dataCellStyle="Milliers">
      <totalsRowFormula>L120+L116+L113+L110+L107+L105+L103+L99+L95+L92+L89+L86+L82+L78+L74+L70+L66+L54+L55+L50+L47+L44+L41+L38+L36+L33+L26+L23+L20+L18+L16+SUM(L3:L14)</totalsRowFormula>
    </tableColumn>
    <tableColumn id="13" xr3:uid="{DED274D3-C6B5-480B-B8A9-1EE570C47837}" name="2024_T2" totalsRowFunction="custom" dataDxfId="58" totalsRowDxfId="10" dataCellStyle="Milliers">
      <totalsRowFormula>M120+M116+M113+M110+M107+M105+M103+M99+M95+M92+M89+M86+M82+M78+M74+M70+M66+M54+M55+M50+M47+M44+M41+M38+M36+M33+M26+M23+M20+M18+M16+SUM(M3:M14)</totalsRowFormula>
    </tableColumn>
    <tableColumn id="14" xr3:uid="{3881AD1D-CA07-4D71-8342-8A7F71D41E64}" name="2024_T3" totalsRowFunction="custom" dataDxfId="57" totalsRowDxfId="9" dataCellStyle="Milliers">
      <totalsRowFormula>N120+N116+N113+N110+N107+N105+N103+N99+N95+N92+N89+N86+N82+N78+N74+N70+N66+N54+N55+N50+N47+N44+N41+N38+N36+N33+N26+N23+N20+N18+N16+SUM(N3:N14)</totalsRowFormula>
    </tableColumn>
    <tableColumn id="15" xr3:uid="{AF5DE154-8E36-41A2-8611-ABBBAB0E8B54}" name="2024_T4" totalsRowFunction="custom" dataDxfId="56" totalsRowDxfId="8" dataCellStyle="Milliers">
      <totalsRowFormula>O120+O116+O113+O110+O107+O105+O103+O99+O95+O92+O89+O86+O82+O78+O74+O70+O66+O54+O55+O50+O47+O44+O41+O38+O36+O33+O26+O23+O20+O18+O16+SUM(O3:O14)</totalsRowFormula>
    </tableColumn>
    <tableColumn id="16" xr3:uid="{78E9F83B-B716-4B9B-A203-DED25930F1FA}" name="2025_T1" totalsRowFunction="custom" dataDxfId="55" totalsRowDxfId="7" dataCellStyle="Milliers">
      <totalsRowFormula>P120+P116+P113+P110+P107+P105+P103+P99+P95+P92+P89+P86+P82+P78+P74+P70+P66+P54+P55+P50+P47+P44+P41+P38+P36+P33+P26+P23+P20+P18+P16+SUM(P3:P14)</totalsRowFormula>
    </tableColumn>
    <tableColumn id="17" xr3:uid="{B7CA3AF3-A880-4F40-9B5B-248F26F7863C}" name="2025_T2" totalsRowFunction="custom" dataDxfId="54" totalsRowDxfId="6" dataCellStyle="Milliers">
      <totalsRowFormula>Q120+Q116+Q113+Q110+Q107+Q105+Q103+Q99+Q95+Q92+Q89+Q86+Q82+Q78+Q74+Q70+Q66+Q54+Q55+Q50+Q47+Q44+Q41+Q38+Q36+Q33+Q26+Q23+Q20+Q18+Q16+SUM(Q3:Q14)</totalsRowFormula>
    </tableColumn>
    <tableColumn id="18" xr3:uid="{41F4FEE5-BE37-498E-9983-4D5BEC20A4E0}" name="2025_T3" totalsRowFunction="custom" dataDxfId="53" totalsRowDxfId="5" dataCellStyle="Milliers">
      <totalsRowFormula>R120+R116+R113+R110+R107+R105+R103+R99+R95+R92+R89+R86+R82+R78+R74+R70+R66+R54+R55+R50+R47+R44+R41+R38+R36+R33+R26+R23+R20+R18+R16+SUM(R3:R14)</totalsRowFormula>
    </tableColumn>
    <tableColumn id="19" xr3:uid="{A6B47EFA-C898-41B7-911B-7DA18246CFC3}" name="2025_T4" totalsRowFunction="custom" dataDxfId="52" totalsRowDxfId="4" dataCellStyle="Milliers">
      <totalsRowFormula>S120+S116+S113+S110+S107+S105+S103+S99+S95+S92+S89+S86+S82+S78+S74+S70+S66+S54+S55+S50+S47+S44+S41+S38+S36+S33+S26+S23+S20+S18+S16+SUM(S3:S14)</totalsRowFormula>
    </tableColumn>
    <tableColumn id="20" xr3:uid="{9CEE9C86-F3CB-4F19-9BAB-B1C7CE33E01E}" name="2026_T1" totalsRowFunction="custom" dataDxfId="51" totalsRowDxfId="3" dataCellStyle="Milliers">
      <totalsRowFormula>T120+T116+T113+T110+T107+T105+T103+T99+T95+T92+T89+T86+T82+T78+T74+T70+T66+T54+T55+T50+T47+T44+T41+T38+T36+T33+T26+T23+T20+T18+T16+SUM(T3:T14)</totalsRowFormula>
    </tableColumn>
    <tableColumn id="21" xr3:uid="{589C071E-58EE-4185-BBBC-4A116FDD1191}" name="2026_T2" dataDxfId="50" totalsRowDxfId="2" dataCellStyle="Milliers"/>
    <tableColumn id="22" xr3:uid="{7B3E9BEE-C259-4C6A-B75D-52F7208002C0}" name="2026_T3" dataDxfId="49" totalsRowDxfId="1" dataCellStyle="Milliers"/>
    <tableColumn id="23" xr3:uid="{0A3C8CDC-F097-4AC6-9F1F-4A90DD60B0A8}" name="2026_T4" dataDxfId="48" totalsRowDxfId="0" dataCellStyle="Millier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6D09C46-AFB0-406A-911B-36A1E7D5DA99}" name="Table_Semestriel" displayName="Table_Semestriel" ref="A1:K112" totalsRowShown="0" headerRowDxfId="47" tableBorderDxfId="46">
  <autoFilter ref="A1:K112" xr:uid="{E6D09C46-AFB0-406A-911B-36A1E7D5DA99}"/>
  <tableColumns count="11">
    <tableColumn id="1" xr3:uid="{D1F9D651-E02B-47E3-9F9B-377D19486309}" name="Mmad" dataDxfId="45" dataCellStyle="Milliers"/>
    <tableColumn id="2" xr3:uid="{9FB2969A-6263-46A9-A4A7-F724BF5CAF62}" name="Ticker" dataDxfId="44" dataCellStyle="Milliers"/>
    <tableColumn id="3" xr3:uid="{1CE6E151-32FA-468D-9E86-EF4ED2C9E677}" name="TypeValeur" dataDxfId="43" dataCellStyle="Milliers"/>
    <tableColumn id="4" xr3:uid="{264CD5E6-9F4B-4706-9210-B7E8E5F8F2EB}" name="S1_2022">
      <calculatedColumnFormula>Trims!D1+Trims!E1</calculatedColumnFormula>
    </tableColumn>
    <tableColumn id="5" xr3:uid="{A1E18FA9-997F-4AAF-A37E-CCF69FAA7AB5}" name="S2_2022" dataDxfId="42" dataCellStyle="Milliers">
      <calculatedColumnFormula>Trims!F1+Trims!G1</calculatedColumnFormula>
    </tableColumn>
    <tableColumn id="6" xr3:uid="{32ECA489-981A-4C35-8983-7BCE550D4E6E}" name="S1_2023">
      <calculatedColumnFormula>Trims!H1+Trims!I1</calculatedColumnFormula>
    </tableColumn>
    <tableColumn id="7" xr3:uid="{64DE9650-4C23-4615-9FDE-3D9C9C0CC2B0}" name="S2_2023" dataDxfId="41" dataCellStyle="Milliers">
      <calculatedColumnFormula>Trims!J1+Trims!K1</calculatedColumnFormula>
    </tableColumn>
    <tableColumn id="8" xr3:uid="{BCBD6A10-9CC7-47ED-8DCB-5480A244379D}" name="S1_2024" dataDxfId="40" dataCellStyle="Milliers">
      <calculatedColumnFormula>Trims!L1+Trims!M1</calculatedColumnFormula>
    </tableColumn>
    <tableColumn id="9" xr3:uid="{086A2896-6D6C-450F-9489-6241D9E44B6D}" name="S2_2024" dataDxfId="39" dataCellStyle="Milliers">
      <calculatedColumnFormula>Trims!N1+Trims!O1</calculatedColumnFormula>
    </tableColumn>
    <tableColumn id="10" xr3:uid="{7FAF0A2F-C3DF-4A03-AB1F-A1E0982ACB4C}" name="S1_2025 " dataDxfId="38" dataCellStyle="Milliers">
      <calculatedColumnFormula>Trims!P1+Trims!Q1</calculatedColumnFormula>
    </tableColumn>
    <tableColumn id="11" xr3:uid="{CE011FD3-5E9F-4DAA-BB93-A856A27A2409}" name="S2_202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D8C135B-4BA6-46EC-AB2B-EAF5E17AF3AF}" name="Table_Annuel" displayName="Table_Annuel" ref="A1:J112" totalsRowShown="0" headerRowDxfId="37">
  <autoFilter ref="A1:J112" xr:uid="{7D8C135B-4BA6-46EC-AB2B-EAF5E17AF3AF}"/>
  <tableColumns count="10">
    <tableColumn id="1" xr3:uid="{14EF7F29-3E53-4D47-854B-18B88DCC21C3}" name="Colonne1" dataDxfId="36" dataCellStyle="Milliers"/>
    <tableColumn id="2" xr3:uid="{E1F6FB85-B130-459A-94DD-64E2884F1A66}" name="Ticker" dataDxfId="35" dataCellStyle="Milliers"/>
    <tableColumn id="3" xr3:uid="{8FB43D73-578A-432B-B5C6-257A80F5CF2C}" name="TypeValeur" dataDxfId="34" dataCellStyle="Milliers"/>
    <tableColumn id="4" xr3:uid="{1E58A442-427C-42DB-93A5-1C25076184E9}" name="2022" dataDxfId="33" dataCellStyle="Milliers">
      <calculatedColumnFormula>Semestriel!D2+Semestriel!E2</calculatedColumnFormula>
    </tableColumn>
    <tableColumn id="5" xr3:uid="{38CE9B70-3723-42BB-BEE6-50BEAF5ADBA7}" name="2023" dataDxfId="32" dataCellStyle="Milliers">
      <calculatedColumnFormula>Semestriel!F2+Semestriel!G2</calculatedColumnFormula>
    </tableColumn>
    <tableColumn id="6" xr3:uid="{C4CC0110-74D3-4613-A5D4-D91C8FF08179}" name="Var %_22-23" dataDxfId="31" dataCellStyle="Pourcentage">
      <calculatedColumnFormula>(E2-D2)/D2</calculatedColumnFormula>
    </tableColumn>
    <tableColumn id="7" xr3:uid="{28255F8D-75BF-4B7B-BE7E-E89888FF99FD}" name="2024" dataDxfId="30" dataCellStyle="Milliers">
      <calculatedColumnFormula>Semestriel!H2+Semestriel!I2</calculatedColumnFormula>
    </tableColumn>
    <tableColumn id="8" xr3:uid="{6FE4093E-B628-4769-A882-273A4F494E1F}" name="Var %_23-24" dataDxfId="29" dataCellStyle="Pourcentage">
      <calculatedColumnFormula>(G2-E2)/E2</calculatedColumnFormula>
    </tableColumn>
    <tableColumn id="9" xr3:uid="{662D49E3-9DAA-4BA3-9A49-29C2139B5162}" name="2025"/>
    <tableColumn id="10" xr3:uid="{ECB94F47-7ADC-4316-9A2A-F0F0741B699A}" name="Var %_24-25" dataDxfId="28" dataCellStyle="Pourcentage">
      <calculatedColumnFormula>(Table_Annuel[[#This Row],[2025]]-Table_Annuel[[#This Row],[2024]])/Table_Annuel[[#This Row],[2024]]</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9929C73-D37D-4EAA-82C0-D692371B4408}" name="Base_Finale" displayName="Base_Finale" ref="A1:G2658" tableType="queryTable" totalsRowShown="0">
  <autoFilter ref="A1:G2658" xr:uid="{C9929C73-D37D-4EAA-82C0-D692371B4408}">
    <filterColumn colId="6">
      <filters>
        <filter val="Trimestriel"/>
      </filters>
    </filterColumn>
  </autoFilter>
  <tableColumns count="7">
    <tableColumn id="1" xr3:uid="{814B6409-F009-4709-91A1-FE92492A14C4}" uniqueName="1" name="Société" queryTableFieldId="1" dataDxfId="27"/>
    <tableColumn id="2" xr3:uid="{41F293D9-BF27-4D4F-8299-CA416812D1E8}" uniqueName="2" name="Ticker" queryTableFieldId="2" dataDxfId="26"/>
    <tableColumn id="3" xr3:uid="{070F8B37-9325-41E0-BF6B-AC0D71209570}" uniqueName="3" name="TypeValeur" queryTableFieldId="3" dataDxfId="25"/>
    <tableColumn id="4" xr3:uid="{F4CD3099-0C7C-4669-BF49-90523C402A08}" uniqueName="4" name="Année" queryTableFieldId="4" dataDxfId="24"/>
    <tableColumn id="5" xr3:uid="{0F9A1E40-BAAD-4C45-A4D9-CBD84DCD84EC}" uniqueName="5" name="Période" queryTableFieldId="5"/>
    <tableColumn id="6" xr3:uid="{C2887F97-5E48-4A87-89F6-B11CD327BB35}" uniqueName="6" name="Valeur" queryTableFieldId="6" dataDxfId="23"/>
    <tableColumn id="7" xr3:uid="{FD95857A-387F-422E-B7CA-80CFFCC32380}" uniqueName="7" name="TypePériode" queryTableFieldId="7"/>
  </tableColumns>
  <tableStyleInfo name="TableStyleMedium7"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45A4D-60B6-4D16-8439-DC19154E851E}">
  <dimension ref="A1:W124"/>
  <sheetViews>
    <sheetView tabSelected="1" zoomScale="97" workbookViewId="0">
      <pane xSplit="3" ySplit="1" topLeftCell="P52" activePane="bottomRight" state="frozen"/>
      <selection pane="topRight" activeCell="D1" sqref="D1"/>
      <selection pane="bottomLeft" activeCell="A3" sqref="A3"/>
      <selection pane="bottomRight" activeCell="T65" sqref="T65"/>
    </sheetView>
  </sheetViews>
  <sheetFormatPr baseColWidth="10" defaultRowHeight="14.5" x14ac:dyDescent="0.35"/>
  <cols>
    <col min="1" max="1" width="26.1796875" customWidth="1"/>
    <col min="2" max="2" width="11.7265625" customWidth="1"/>
    <col min="3" max="3" width="15.453125" customWidth="1"/>
    <col min="4" max="4" width="12.7265625" customWidth="1"/>
    <col min="5" max="5" width="12.1796875" customWidth="1"/>
    <col min="6" max="6" width="11.81640625" customWidth="1"/>
    <col min="7" max="7" width="12.1796875" customWidth="1"/>
    <col min="8" max="8" width="11.1796875" customWidth="1"/>
    <col min="9" max="11" width="11.81640625" customWidth="1"/>
    <col min="14" max="15" width="11.81640625" customWidth="1"/>
    <col min="16" max="16" width="12.26953125" customWidth="1"/>
    <col min="17" max="17" width="11.81640625" customWidth="1"/>
    <col min="18" max="18" width="12.54296875" customWidth="1"/>
    <col min="19" max="19" width="12.1796875" customWidth="1"/>
  </cols>
  <sheetData>
    <row r="1" spans="1:23" x14ac:dyDescent="0.35">
      <c r="A1" s="61" t="s">
        <v>0</v>
      </c>
      <c r="B1" s="61" t="s">
        <v>128</v>
      </c>
      <c r="C1" s="62" t="s">
        <v>129</v>
      </c>
      <c r="D1" s="72" t="s">
        <v>115</v>
      </c>
      <c r="E1" s="139" t="s">
        <v>112</v>
      </c>
      <c r="F1" s="139" t="s">
        <v>113</v>
      </c>
      <c r="G1" s="73" t="s">
        <v>114</v>
      </c>
      <c r="H1" s="63" t="s">
        <v>116</v>
      </c>
      <c r="I1" s="64" t="s">
        <v>117</v>
      </c>
      <c r="J1" s="64" t="s">
        <v>118</v>
      </c>
      <c r="K1" s="65" t="s">
        <v>119</v>
      </c>
      <c r="L1" s="63" t="s">
        <v>120</v>
      </c>
      <c r="M1" s="64" t="s">
        <v>121</v>
      </c>
      <c r="N1" s="64" t="s">
        <v>122</v>
      </c>
      <c r="O1" s="65" t="s">
        <v>123</v>
      </c>
      <c r="P1" s="63" t="s">
        <v>124</v>
      </c>
      <c r="Q1" s="64" t="s">
        <v>125</v>
      </c>
      <c r="R1" s="64" t="s">
        <v>126</v>
      </c>
      <c r="S1" s="64" t="s">
        <v>127</v>
      </c>
      <c r="T1" s="69" t="s">
        <v>150</v>
      </c>
      <c r="U1" s="69" t="s">
        <v>151</v>
      </c>
      <c r="V1" s="69" t="s">
        <v>152</v>
      </c>
      <c r="W1" s="170" t="s">
        <v>153</v>
      </c>
    </row>
    <row r="2" spans="1:23" x14ac:dyDescent="0.35">
      <c r="A2" s="78" t="s">
        <v>40</v>
      </c>
      <c r="B2" s="78"/>
      <c r="C2" s="78"/>
      <c r="D2" s="78"/>
      <c r="E2" s="78"/>
      <c r="F2" s="78"/>
      <c r="G2" s="78"/>
      <c r="H2" s="78"/>
      <c r="I2" s="78"/>
      <c r="J2" s="78"/>
      <c r="K2" s="78"/>
      <c r="L2" s="78"/>
      <c r="M2" s="78"/>
      <c r="N2" s="78"/>
      <c r="O2" s="78"/>
      <c r="P2" s="78"/>
      <c r="Q2" s="78"/>
      <c r="R2" s="78"/>
      <c r="S2" s="100"/>
      <c r="T2" s="167"/>
      <c r="U2" s="82"/>
      <c r="V2" s="82"/>
      <c r="W2" s="102"/>
    </row>
    <row r="3" spans="1:23" x14ac:dyDescent="0.35">
      <c r="A3" s="3" t="s">
        <v>1</v>
      </c>
      <c r="B3" s="2" t="s">
        <v>64</v>
      </c>
      <c r="C3" s="19" t="s">
        <v>57</v>
      </c>
      <c r="D3" s="16">
        <v>1960</v>
      </c>
      <c r="E3" s="17">
        <v>1122</v>
      </c>
      <c r="F3" s="17">
        <v>1063</v>
      </c>
      <c r="G3" s="18">
        <v>1258</v>
      </c>
      <c r="H3" s="17">
        <v>1893</v>
      </c>
      <c r="I3" s="17">
        <v>1192</v>
      </c>
      <c r="J3" s="17">
        <v>906</v>
      </c>
      <c r="K3" s="18">
        <v>1121</v>
      </c>
      <c r="L3" s="17">
        <v>1962</v>
      </c>
      <c r="M3" s="17">
        <v>1134</v>
      </c>
      <c r="N3" s="17">
        <v>855</v>
      </c>
      <c r="O3" s="18">
        <v>1309</v>
      </c>
      <c r="P3" s="17">
        <v>2287</v>
      </c>
      <c r="Q3" s="17">
        <v>1376</v>
      </c>
      <c r="R3" s="17">
        <v>876</v>
      </c>
      <c r="S3" s="18">
        <v>1511</v>
      </c>
      <c r="T3" s="16">
        <v>2373</v>
      </c>
      <c r="U3" s="17"/>
      <c r="V3" s="17"/>
      <c r="W3" s="18"/>
    </row>
    <row r="4" spans="1:23" x14ac:dyDescent="0.35">
      <c r="A4" s="3" t="s">
        <v>2</v>
      </c>
      <c r="B4" s="20" t="s">
        <v>65</v>
      </c>
      <c r="C4" s="1" t="s">
        <v>57</v>
      </c>
      <c r="D4" s="16">
        <v>3117</v>
      </c>
      <c r="E4" s="17">
        <v>2776</v>
      </c>
      <c r="F4" s="17">
        <v>2560</v>
      </c>
      <c r="G4" s="18">
        <v>3185</v>
      </c>
      <c r="H4" s="17">
        <v>3605</v>
      </c>
      <c r="I4" s="17">
        <v>2928</v>
      </c>
      <c r="J4" s="17">
        <v>3119</v>
      </c>
      <c r="K4" s="18">
        <v>3072</v>
      </c>
      <c r="L4" s="17">
        <v>4073</v>
      </c>
      <c r="M4" s="17">
        <v>3027</v>
      </c>
      <c r="N4" s="17">
        <v>2809</v>
      </c>
      <c r="O4" s="18">
        <v>3158</v>
      </c>
      <c r="P4" s="17">
        <v>4352</v>
      </c>
      <c r="Q4" s="17">
        <v>3530</v>
      </c>
      <c r="R4" s="17">
        <v>3037</v>
      </c>
      <c r="S4" s="18">
        <v>4307</v>
      </c>
      <c r="T4" s="6">
        <v>6400</v>
      </c>
      <c r="U4" s="6"/>
      <c r="V4" s="6"/>
      <c r="W4" s="7"/>
    </row>
    <row r="5" spans="1:23" x14ac:dyDescent="0.35">
      <c r="A5" s="60" t="s">
        <v>161</v>
      </c>
      <c r="B5" s="21" t="s">
        <v>162</v>
      </c>
      <c r="C5" s="1" t="s">
        <v>57</v>
      </c>
      <c r="D5" s="17">
        <v>1794</v>
      </c>
      <c r="E5" s="17">
        <f>3367-Table_Trims[[#This Row],[2022_T1]]</f>
        <v>1573</v>
      </c>
      <c r="F5" s="17">
        <f>190+1073</f>
        <v>1263</v>
      </c>
      <c r="G5" s="18">
        <f>1108+217</f>
        <v>1325</v>
      </c>
      <c r="H5" s="8">
        <f>266+1927</f>
        <v>2193</v>
      </c>
      <c r="I5" s="8">
        <f>3493-Table_Trims[[#This Row],[2023_T1]]</f>
        <v>1300</v>
      </c>
      <c r="J5" s="8">
        <f>4774-Table_Trims[[#This Row],[2023_T2]]-Table_Trims[[#This Row],[2023_T1]]</f>
        <v>1281</v>
      </c>
      <c r="K5" s="8">
        <v>1378</v>
      </c>
      <c r="L5" s="24">
        <f>1946+201</f>
        <v>2147</v>
      </c>
      <c r="M5" s="8">
        <f>3535-Table_Trims[[#This Row],[2024_T1]]</f>
        <v>1388</v>
      </c>
      <c r="N5" s="8">
        <f>1385</f>
        <v>1385</v>
      </c>
      <c r="O5" s="9">
        <v>1361</v>
      </c>
      <c r="P5" s="8">
        <f>148+1932</f>
        <v>2080</v>
      </c>
      <c r="Q5" s="8">
        <f>3430-Table_Trims[[#This Row],[2025_T1]]</f>
        <v>1350</v>
      </c>
      <c r="R5" s="8">
        <v>1429</v>
      </c>
      <c r="S5" s="9">
        <v>1336</v>
      </c>
      <c r="T5" s="8">
        <f>268+2009</f>
        <v>2277</v>
      </c>
      <c r="U5" s="8"/>
      <c r="V5" s="8"/>
      <c r="W5" s="9"/>
    </row>
    <row r="6" spans="1:23" x14ac:dyDescent="0.35">
      <c r="A6" s="60" t="s">
        <v>11</v>
      </c>
      <c r="B6" s="21" t="s">
        <v>72</v>
      </c>
      <c r="C6" s="1" t="s">
        <v>57</v>
      </c>
      <c r="D6" s="17">
        <v>94.424000000000007</v>
      </c>
      <c r="E6" s="17">
        <v>100.86799999999999</v>
      </c>
      <c r="F6" s="17">
        <v>95.087000000000003</v>
      </c>
      <c r="G6" s="18">
        <v>108.914</v>
      </c>
      <c r="H6" s="17">
        <v>95.134</v>
      </c>
      <c r="I6" s="17">
        <v>97.075999999999993</v>
      </c>
      <c r="J6" s="17">
        <v>97.971000000000004</v>
      </c>
      <c r="K6" s="17">
        <v>105.988</v>
      </c>
      <c r="L6" s="16">
        <v>93.236000000000004</v>
      </c>
      <c r="M6" s="17">
        <v>92.614000000000004</v>
      </c>
      <c r="N6" s="17">
        <v>94.66</v>
      </c>
      <c r="O6" s="18">
        <v>98.135000000000005</v>
      </c>
      <c r="P6" s="17">
        <v>94</v>
      </c>
      <c r="Q6" s="17">
        <v>97</v>
      </c>
      <c r="R6" s="17">
        <v>95</v>
      </c>
      <c r="S6" s="18">
        <v>98</v>
      </c>
      <c r="T6" s="6">
        <v>94</v>
      </c>
      <c r="U6" s="6"/>
      <c r="V6" s="6"/>
      <c r="W6" s="7"/>
    </row>
    <row r="7" spans="1:23" x14ac:dyDescent="0.35">
      <c r="A7" s="78" t="s">
        <v>41</v>
      </c>
      <c r="B7" s="78"/>
      <c r="C7" s="78"/>
      <c r="D7" s="78"/>
      <c r="E7" s="78"/>
      <c r="F7" s="78"/>
      <c r="G7" s="78"/>
      <c r="H7" s="78"/>
      <c r="I7" s="78"/>
      <c r="J7" s="78"/>
      <c r="K7" s="78"/>
      <c r="L7" s="78"/>
      <c r="M7" s="78"/>
      <c r="N7" s="78"/>
      <c r="O7" s="78"/>
      <c r="P7" s="78"/>
      <c r="Q7" s="78"/>
      <c r="R7" s="78"/>
      <c r="S7" s="79"/>
      <c r="T7" s="167"/>
      <c r="U7" s="82"/>
      <c r="V7" s="82"/>
      <c r="W7" s="102"/>
    </row>
    <row r="8" spans="1:23" x14ac:dyDescent="0.35">
      <c r="A8" s="60" t="s">
        <v>3</v>
      </c>
      <c r="B8" s="59" t="s">
        <v>66</v>
      </c>
      <c r="C8" s="22" t="s">
        <v>57</v>
      </c>
      <c r="D8" s="54">
        <v>6600</v>
      </c>
      <c r="E8" s="54">
        <v>6500</v>
      </c>
      <c r="F8" s="54">
        <v>6600</v>
      </c>
      <c r="G8" s="55">
        <v>6613</v>
      </c>
      <c r="H8" s="54">
        <v>6861</v>
      </c>
      <c r="I8" s="54">
        <v>7743</v>
      </c>
      <c r="J8" s="52">
        <v>7683</v>
      </c>
      <c r="K8" s="53">
        <v>7656</v>
      </c>
      <c r="L8" s="52">
        <v>8520</v>
      </c>
      <c r="M8" s="52">
        <v>8503</v>
      </c>
      <c r="N8" s="52">
        <v>8150</v>
      </c>
      <c r="O8" s="53">
        <v>9334</v>
      </c>
      <c r="P8" s="52">
        <v>9024</v>
      </c>
      <c r="Q8" s="52">
        <v>8672</v>
      </c>
      <c r="R8" s="52">
        <v>8658</v>
      </c>
      <c r="S8" s="53">
        <v>8567</v>
      </c>
      <c r="T8" s="16">
        <v>9287.857</v>
      </c>
      <c r="U8" s="17"/>
      <c r="V8" s="17"/>
      <c r="W8" s="18"/>
    </row>
    <row r="9" spans="1:23" x14ac:dyDescent="0.35">
      <c r="A9" s="60" t="s">
        <v>4</v>
      </c>
      <c r="B9" s="59" t="s">
        <v>67</v>
      </c>
      <c r="C9" s="22" t="s">
        <v>57</v>
      </c>
      <c r="D9" s="52">
        <v>3630</v>
      </c>
      <c r="E9" s="52">
        <v>4070</v>
      </c>
      <c r="F9" s="52">
        <v>3655</v>
      </c>
      <c r="G9" s="53">
        <v>4271</v>
      </c>
      <c r="H9" s="52">
        <v>3834</v>
      </c>
      <c r="I9" s="52">
        <v>4571</v>
      </c>
      <c r="J9" s="52">
        <v>4194</v>
      </c>
      <c r="K9" s="53">
        <v>4343</v>
      </c>
      <c r="L9" s="52">
        <v>4500</v>
      </c>
      <c r="M9" s="52">
        <v>5120</v>
      </c>
      <c r="N9" s="52">
        <v>4480</v>
      </c>
      <c r="O9" s="53">
        <v>4522</v>
      </c>
      <c r="P9" s="52">
        <v>4968</v>
      </c>
      <c r="Q9" s="52">
        <v>5519</v>
      </c>
      <c r="R9" s="52">
        <v>4792</v>
      </c>
      <c r="S9" s="53">
        <v>5069</v>
      </c>
      <c r="T9" s="16">
        <v>4860.0389999999998</v>
      </c>
      <c r="U9" s="17"/>
      <c r="V9" s="17"/>
      <c r="W9" s="18"/>
    </row>
    <row r="10" spans="1:23" x14ac:dyDescent="0.35">
      <c r="A10" s="60" t="s">
        <v>5</v>
      </c>
      <c r="B10" s="59" t="s">
        <v>5</v>
      </c>
      <c r="C10" s="22" t="s">
        <v>57</v>
      </c>
      <c r="D10" s="52">
        <v>4902</v>
      </c>
      <c r="E10" s="52">
        <v>5559</v>
      </c>
      <c r="F10" s="52">
        <v>4371</v>
      </c>
      <c r="G10" s="53">
        <v>5777</v>
      </c>
      <c r="H10" s="52">
        <v>4822</v>
      </c>
      <c r="I10" s="52">
        <v>6920</v>
      </c>
      <c r="J10" s="52">
        <v>5910</v>
      </c>
      <c r="K10" s="53">
        <v>5143</v>
      </c>
      <c r="L10" s="52">
        <v>6048</v>
      </c>
      <c r="M10" s="52">
        <v>6790</v>
      </c>
      <c r="N10" s="52">
        <v>6752</v>
      </c>
      <c r="O10" s="53">
        <v>6011</v>
      </c>
      <c r="P10" s="52">
        <v>6949</v>
      </c>
      <c r="Q10" s="52">
        <v>6963</v>
      </c>
      <c r="R10" s="52">
        <v>6492</v>
      </c>
      <c r="S10" s="53">
        <v>6596</v>
      </c>
      <c r="T10" s="16">
        <v>5724</v>
      </c>
      <c r="U10" s="17"/>
      <c r="V10" s="17"/>
      <c r="W10" s="18"/>
    </row>
    <row r="11" spans="1:23" x14ac:dyDescent="0.35">
      <c r="A11" s="60" t="s">
        <v>6</v>
      </c>
      <c r="B11" s="59" t="s">
        <v>68</v>
      </c>
      <c r="C11" s="22" t="s">
        <v>57</v>
      </c>
      <c r="D11" s="52">
        <v>759</v>
      </c>
      <c r="E11" s="52">
        <v>761</v>
      </c>
      <c r="F11" s="52">
        <v>745</v>
      </c>
      <c r="G11" s="53">
        <v>790</v>
      </c>
      <c r="H11" s="52">
        <v>792</v>
      </c>
      <c r="I11" s="52">
        <v>902</v>
      </c>
      <c r="J11" s="52">
        <v>876</v>
      </c>
      <c r="K11" s="53">
        <v>870</v>
      </c>
      <c r="L11" s="52">
        <v>910</v>
      </c>
      <c r="M11" s="52">
        <v>980</v>
      </c>
      <c r="N11" s="52">
        <v>980</v>
      </c>
      <c r="O11" s="53">
        <v>920</v>
      </c>
      <c r="P11" s="52">
        <v>983</v>
      </c>
      <c r="Q11" s="52">
        <v>1007</v>
      </c>
      <c r="R11" s="52">
        <v>960</v>
      </c>
      <c r="S11" s="53">
        <v>990</v>
      </c>
      <c r="T11" s="16">
        <v>961</v>
      </c>
      <c r="U11" s="17"/>
      <c r="V11" s="17"/>
      <c r="W11" s="18"/>
    </row>
    <row r="12" spans="1:23" x14ac:dyDescent="0.35">
      <c r="A12" s="60" t="s">
        <v>7</v>
      </c>
      <c r="B12" s="59" t="s">
        <v>7</v>
      </c>
      <c r="C12" s="22" t="s">
        <v>57</v>
      </c>
      <c r="D12" s="52">
        <v>648</v>
      </c>
      <c r="E12" s="52">
        <v>637</v>
      </c>
      <c r="F12" s="52">
        <v>640</v>
      </c>
      <c r="G12" s="53">
        <v>644.1</v>
      </c>
      <c r="H12" s="52">
        <v>719</v>
      </c>
      <c r="I12" s="52">
        <v>707</v>
      </c>
      <c r="J12" s="52">
        <v>770</v>
      </c>
      <c r="K12" s="53">
        <v>704</v>
      </c>
      <c r="L12" s="52">
        <v>791</v>
      </c>
      <c r="M12" s="52">
        <v>815</v>
      </c>
      <c r="N12" s="52">
        <v>833</v>
      </c>
      <c r="O12" s="53">
        <v>861</v>
      </c>
      <c r="P12" s="52">
        <v>890</v>
      </c>
      <c r="Q12" s="52">
        <v>885</v>
      </c>
      <c r="R12" s="52">
        <v>903</v>
      </c>
      <c r="S12" s="53">
        <v>790</v>
      </c>
      <c r="T12" s="16">
        <v>928</v>
      </c>
      <c r="U12" s="17"/>
      <c r="V12" s="17"/>
      <c r="W12" s="18"/>
    </row>
    <row r="13" spans="1:23" x14ac:dyDescent="0.35">
      <c r="A13" s="60" t="s">
        <v>8</v>
      </c>
      <c r="B13" s="59" t="s">
        <v>69</v>
      </c>
      <c r="C13" s="12" t="s">
        <v>57</v>
      </c>
      <c r="D13" s="43">
        <v>116</v>
      </c>
      <c r="E13" s="43">
        <v>113</v>
      </c>
      <c r="F13" s="43">
        <v>127</v>
      </c>
      <c r="G13" s="44">
        <v>144</v>
      </c>
      <c r="H13" s="43">
        <v>144</v>
      </c>
      <c r="I13" s="43">
        <v>165</v>
      </c>
      <c r="J13" s="43">
        <v>189</v>
      </c>
      <c r="K13" s="44">
        <v>159</v>
      </c>
      <c r="L13" s="43">
        <v>208</v>
      </c>
      <c r="M13" s="43">
        <v>216</v>
      </c>
      <c r="N13" s="43">
        <v>254</v>
      </c>
      <c r="O13" s="44">
        <v>263</v>
      </c>
      <c r="P13" s="43">
        <v>303</v>
      </c>
      <c r="Q13" s="43">
        <v>297</v>
      </c>
      <c r="R13" s="43">
        <v>309</v>
      </c>
      <c r="S13" s="44">
        <v>338</v>
      </c>
      <c r="T13" s="178">
        <v>310</v>
      </c>
      <c r="U13" s="17"/>
      <c r="V13" s="17"/>
      <c r="W13" s="18"/>
    </row>
    <row r="14" spans="1:23" x14ac:dyDescent="0.35">
      <c r="A14" s="60" t="s">
        <v>9</v>
      </c>
      <c r="B14" s="21" t="s">
        <v>70</v>
      </c>
      <c r="C14" s="12" t="s">
        <v>57</v>
      </c>
      <c r="D14" s="43">
        <v>812.3</v>
      </c>
      <c r="E14" s="43">
        <v>812</v>
      </c>
      <c r="F14" s="43">
        <v>885.4</v>
      </c>
      <c r="G14" s="44">
        <v>1008.3</v>
      </c>
      <c r="H14" s="43">
        <v>968.5</v>
      </c>
      <c r="I14" s="43">
        <v>1250.4000000000001</v>
      </c>
      <c r="J14" s="43">
        <v>1108</v>
      </c>
      <c r="K14" s="44">
        <v>1141</v>
      </c>
      <c r="L14" s="43">
        <v>1122.7</v>
      </c>
      <c r="M14" s="43">
        <v>1210</v>
      </c>
      <c r="N14" s="43">
        <v>1203.4000000000001</v>
      </c>
      <c r="O14" s="44">
        <v>1202.9000000000001</v>
      </c>
      <c r="P14" s="43">
        <v>1300</v>
      </c>
      <c r="Q14" s="43">
        <v>1448</v>
      </c>
      <c r="R14" s="43">
        <v>1292.8</v>
      </c>
      <c r="S14" s="44">
        <v>1382</v>
      </c>
      <c r="T14" s="6">
        <v>1269.4000000000001</v>
      </c>
      <c r="U14" s="6"/>
      <c r="V14" s="6"/>
      <c r="W14" s="7"/>
    </row>
    <row r="15" spans="1:23" x14ac:dyDescent="0.35">
      <c r="A15" s="80" t="s">
        <v>42</v>
      </c>
      <c r="B15" s="80"/>
      <c r="C15" s="80"/>
      <c r="D15" s="80"/>
      <c r="E15" s="80"/>
      <c r="F15" s="80"/>
      <c r="G15" s="80"/>
      <c r="H15" s="80"/>
      <c r="I15" s="80"/>
      <c r="J15" s="80"/>
      <c r="K15" s="80"/>
      <c r="L15" s="80"/>
      <c r="M15" s="80"/>
      <c r="N15" s="80"/>
      <c r="O15" s="80"/>
      <c r="P15" s="80"/>
      <c r="Q15" s="80"/>
      <c r="R15" s="80"/>
      <c r="S15" s="105"/>
      <c r="T15" s="168"/>
      <c r="U15" s="169"/>
      <c r="V15" s="169"/>
      <c r="W15" s="101"/>
    </row>
    <row r="16" spans="1:23" x14ac:dyDescent="0.35">
      <c r="A16" s="60" t="s">
        <v>10</v>
      </c>
      <c r="B16" s="59" t="s">
        <v>71</v>
      </c>
      <c r="C16" s="10" t="s">
        <v>57</v>
      </c>
      <c r="D16" s="4">
        <v>142</v>
      </c>
      <c r="E16" s="4">
        <v>165</v>
      </c>
      <c r="F16" s="4">
        <v>134</v>
      </c>
      <c r="G16" s="5">
        <v>140</v>
      </c>
      <c r="H16" s="4">
        <v>132</v>
      </c>
      <c r="I16" s="4">
        <v>161</v>
      </c>
      <c r="J16" s="4">
        <v>124</v>
      </c>
      <c r="K16" s="5">
        <v>130</v>
      </c>
      <c r="L16" s="4">
        <v>130</v>
      </c>
      <c r="M16" s="4">
        <v>152</v>
      </c>
      <c r="N16" s="4">
        <v>132</v>
      </c>
      <c r="O16" s="5">
        <v>129</v>
      </c>
      <c r="P16" s="4">
        <v>140</v>
      </c>
      <c r="Q16" s="4">
        <v>166</v>
      </c>
      <c r="R16" s="4">
        <v>140</v>
      </c>
      <c r="S16" s="5">
        <f>590-Table_Trims[[#This Row],[2025_T3]]-Table_Trims[[#This Row],[2025_T2]]-Table_Trims[[#This Row],[2025_T1]]</f>
        <v>144</v>
      </c>
      <c r="T16" s="16">
        <v>154</v>
      </c>
      <c r="U16" s="17"/>
      <c r="V16" s="17"/>
      <c r="W16" s="18"/>
    </row>
    <row r="17" spans="1:23" x14ac:dyDescent="0.35">
      <c r="A17" s="60" t="s">
        <v>11</v>
      </c>
      <c r="B17" s="21" t="s">
        <v>72</v>
      </c>
      <c r="C17" s="22" t="s">
        <v>57</v>
      </c>
      <c r="D17" s="17">
        <v>94.424000000000007</v>
      </c>
      <c r="E17" s="17">
        <v>100.86799999999999</v>
      </c>
      <c r="F17" s="17">
        <v>95.087000000000003</v>
      </c>
      <c r="G17" s="18">
        <v>108.914</v>
      </c>
      <c r="H17" s="17">
        <v>95.424000000000007</v>
      </c>
      <c r="I17" s="17">
        <v>97.075999999999993</v>
      </c>
      <c r="J17" s="17">
        <v>97.971000000000004</v>
      </c>
      <c r="K17" s="18">
        <v>105.988</v>
      </c>
      <c r="L17" s="17">
        <v>93.236000000000004</v>
      </c>
      <c r="M17" s="17">
        <v>92.614000000000004</v>
      </c>
      <c r="N17" s="17">
        <v>94.66</v>
      </c>
      <c r="O17" s="18">
        <v>98.135000000000005</v>
      </c>
      <c r="P17" s="17">
        <v>94</v>
      </c>
      <c r="Q17" s="17">
        <v>97</v>
      </c>
      <c r="R17" s="17">
        <v>95</v>
      </c>
      <c r="S17" s="18"/>
      <c r="T17" s="16"/>
      <c r="U17" s="17"/>
      <c r="V17" s="17"/>
      <c r="W17" s="18"/>
    </row>
    <row r="18" spans="1:23" x14ac:dyDescent="0.35">
      <c r="A18" s="26" t="s">
        <v>99</v>
      </c>
      <c r="B18" s="21" t="s">
        <v>102</v>
      </c>
      <c r="C18" s="22" t="s">
        <v>57</v>
      </c>
      <c r="D18" s="56"/>
      <c r="E18" s="57"/>
      <c r="F18" s="57"/>
      <c r="G18" s="57"/>
      <c r="H18" s="56"/>
      <c r="I18" s="57"/>
      <c r="J18" s="57"/>
      <c r="K18" s="57"/>
      <c r="L18" s="56"/>
      <c r="M18" s="57"/>
      <c r="N18" s="57"/>
      <c r="O18" s="58">
        <v>186</v>
      </c>
      <c r="P18" s="181">
        <v>212</v>
      </c>
      <c r="Q18" s="57"/>
      <c r="R18" s="57"/>
      <c r="S18" s="18">
        <v>222</v>
      </c>
      <c r="T18" s="6">
        <v>234</v>
      </c>
      <c r="U18" s="6"/>
      <c r="V18" s="6"/>
      <c r="W18" s="7"/>
    </row>
    <row r="19" spans="1:23" x14ac:dyDescent="0.35">
      <c r="A19" s="80" t="s">
        <v>43</v>
      </c>
      <c r="B19" s="80"/>
      <c r="C19" s="80"/>
      <c r="D19" s="80"/>
      <c r="E19" s="80"/>
      <c r="F19" s="80"/>
      <c r="G19" s="80"/>
      <c r="H19" s="80"/>
      <c r="I19" s="80"/>
      <c r="J19" s="80"/>
      <c r="K19" s="80"/>
      <c r="L19" s="80"/>
      <c r="M19" s="80"/>
      <c r="N19" s="80"/>
      <c r="O19" s="80"/>
      <c r="P19" s="80"/>
      <c r="Q19" s="80"/>
      <c r="R19" s="80"/>
      <c r="S19" s="81"/>
      <c r="T19" s="168"/>
      <c r="U19" s="169"/>
      <c r="V19" s="169"/>
      <c r="W19" s="101"/>
    </row>
    <row r="20" spans="1:23" x14ac:dyDescent="0.35">
      <c r="A20" s="137" t="s">
        <v>12</v>
      </c>
      <c r="B20" s="59" t="s">
        <v>73</v>
      </c>
      <c r="C20" s="10" t="s">
        <v>57</v>
      </c>
      <c r="D20" s="4">
        <v>2486</v>
      </c>
      <c r="E20" s="4">
        <v>2590</v>
      </c>
      <c r="F20" s="4">
        <v>2823</v>
      </c>
      <c r="G20" s="5">
        <v>2534</v>
      </c>
      <c r="H20" s="4">
        <v>2512</v>
      </c>
      <c r="I20" s="4">
        <v>2446</v>
      </c>
      <c r="J20" s="4">
        <v>2700</v>
      </c>
      <c r="K20" s="5">
        <v>2575</v>
      </c>
      <c r="L20" s="4">
        <v>2439</v>
      </c>
      <c r="M20" s="4">
        <v>2544</v>
      </c>
      <c r="N20" s="4">
        <v>2766</v>
      </c>
      <c r="O20" s="5">
        <v>2489</v>
      </c>
      <c r="P20" s="4">
        <v>2667</v>
      </c>
      <c r="Q20" s="4">
        <v>2695</v>
      </c>
      <c r="R20" s="4">
        <v>2675</v>
      </c>
      <c r="S20" s="5">
        <v>2450</v>
      </c>
      <c r="T20" s="6">
        <v>2206</v>
      </c>
      <c r="U20" s="6"/>
      <c r="V20" s="6"/>
      <c r="W20" s="7"/>
    </row>
    <row r="21" spans="1:23" x14ac:dyDescent="0.35">
      <c r="A21" s="173" t="s">
        <v>12</v>
      </c>
      <c r="B21" s="171" t="s">
        <v>73</v>
      </c>
      <c r="C21" s="11" t="s">
        <v>58</v>
      </c>
      <c r="D21" s="23">
        <v>60</v>
      </c>
      <c r="E21" s="6">
        <v>105</v>
      </c>
      <c r="F21" s="6">
        <v>56</v>
      </c>
      <c r="G21" s="7">
        <v>62</v>
      </c>
      <c r="H21" s="6">
        <v>51</v>
      </c>
      <c r="I21" s="6">
        <v>53</v>
      </c>
      <c r="J21" s="6">
        <v>26</v>
      </c>
      <c r="K21" s="7">
        <v>112</v>
      </c>
      <c r="L21" s="6">
        <v>54</v>
      </c>
      <c r="M21" s="6">
        <v>34</v>
      </c>
      <c r="N21" s="6">
        <v>47</v>
      </c>
      <c r="O21" s="7">
        <v>65</v>
      </c>
      <c r="P21" s="6">
        <v>36</v>
      </c>
      <c r="Q21" s="6">
        <v>56</v>
      </c>
      <c r="R21" s="6">
        <v>74</v>
      </c>
      <c r="S21" s="7">
        <v>79</v>
      </c>
      <c r="T21" s="6">
        <v>25</v>
      </c>
      <c r="U21" s="6"/>
      <c r="V21" s="6"/>
      <c r="W21" s="7"/>
    </row>
    <row r="22" spans="1:23" x14ac:dyDescent="0.35">
      <c r="A22" s="173" t="s">
        <v>12</v>
      </c>
      <c r="B22" s="171" t="s">
        <v>73</v>
      </c>
      <c r="C22" s="12" t="s">
        <v>59</v>
      </c>
      <c r="D22" s="24">
        <v>-174</v>
      </c>
      <c r="E22" s="8">
        <v>1011</v>
      </c>
      <c r="F22" s="8">
        <v>167</v>
      </c>
      <c r="G22" s="9">
        <v>985</v>
      </c>
      <c r="H22" s="8">
        <v>694</v>
      </c>
      <c r="I22" s="8">
        <v>919</v>
      </c>
      <c r="J22" s="8">
        <v>1796</v>
      </c>
      <c r="K22" s="9">
        <v>1458</v>
      </c>
      <c r="L22" s="8">
        <v>-137</v>
      </c>
      <c r="M22" s="8">
        <v>1062</v>
      </c>
      <c r="N22" s="8">
        <v>1823</v>
      </c>
      <c r="O22" s="9">
        <v>556</v>
      </c>
      <c r="P22" s="8">
        <v>-27</v>
      </c>
      <c r="Q22" s="8">
        <v>1608</v>
      </c>
      <c r="R22" s="8">
        <v>1701</v>
      </c>
      <c r="S22" s="9">
        <v>206</v>
      </c>
      <c r="T22" s="24">
        <v>986</v>
      </c>
      <c r="U22" s="8"/>
      <c r="V22" s="8"/>
      <c r="W22" s="9"/>
    </row>
    <row r="23" spans="1:23" x14ac:dyDescent="0.35">
      <c r="A23" s="137" t="s">
        <v>13</v>
      </c>
      <c r="B23" s="59" t="s">
        <v>74</v>
      </c>
      <c r="C23" s="11" t="s">
        <v>57</v>
      </c>
      <c r="D23" s="6">
        <v>1644</v>
      </c>
      <c r="E23" s="6">
        <v>1954</v>
      </c>
      <c r="F23" s="6">
        <v>1641</v>
      </c>
      <c r="G23" s="7">
        <v>1650</v>
      </c>
      <c r="H23" s="6">
        <v>1827</v>
      </c>
      <c r="I23" s="6">
        <v>1212</v>
      </c>
      <c r="J23" s="6">
        <v>1510</v>
      </c>
      <c r="K23" s="7">
        <v>1385</v>
      </c>
      <c r="L23" s="6">
        <v>1506</v>
      </c>
      <c r="M23" s="6">
        <v>1205</v>
      </c>
      <c r="N23" s="6">
        <v>1036</v>
      </c>
      <c r="O23" s="7">
        <v>1381</v>
      </c>
      <c r="P23" s="6">
        <v>1656</v>
      </c>
      <c r="Q23" s="6">
        <v>1168</v>
      </c>
      <c r="R23" s="6">
        <v>1227</v>
      </c>
      <c r="S23" s="7">
        <v>1216</v>
      </c>
      <c r="T23" s="6">
        <v>1447</v>
      </c>
      <c r="U23" s="6"/>
      <c r="V23" s="6"/>
      <c r="W23" s="7"/>
    </row>
    <row r="24" spans="1:23" x14ac:dyDescent="0.35">
      <c r="A24" s="173" t="s">
        <v>13</v>
      </c>
      <c r="B24" s="171" t="s">
        <v>74</v>
      </c>
      <c r="C24" s="11" t="s">
        <v>58</v>
      </c>
      <c r="D24" s="6">
        <v>16</v>
      </c>
      <c r="E24" s="6">
        <v>41</v>
      </c>
      <c r="F24" s="6">
        <v>9</v>
      </c>
      <c r="G24" s="7">
        <v>100</v>
      </c>
      <c r="H24" s="6">
        <v>11.3</v>
      </c>
      <c r="I24" s="6">
        <v>22.7</v>
      </c>
      <c r="J24" s="6">
        <v>37</v>
      </c>
      <c r="K24" s="7">
        <v>47</v>
      </c>
      <c r="L24" s="6">
        <v>48</v>
      </c>
      <c r="M24" s="6">
        <v>52</v>
      </c>
      <c r="N24" s="6">
        <v>9</v>
      </c>
      <c r="O24" s="7">
        <v>50</v>
      </c>
      <c r="P24" s="6">
        <v>6</v>
      </c>
      <c r="Q24" s="6">
        <v>13</v>
      </c>
      <c r="R24" s="6">
        <v>9</v>
      </c>
      <c r="S24" s="7">
        <v>33</v>
      </c>
      <c r="T24" s="6">
        <v>14</v>
      </c>
      <c r="U24" s="6"/>
      <c r="V24" s="6"/>
      <c r="W24" s="7"/>
    </row>
    <row r="25" spans="1:23" x14ac:dyDescent="0.35">
      <c r="A25" s="173" t="s">
        <v>13</v>
      </c>
      <c r="B25" s="171" t="s">
        <v>74</v>
      </c>
      <c r="C25" s="12" t="s">
        <v>59</v>
      </c>
      <c r="D25" s="8">
        <v>-1002</v>
      </c>
      <c r="E25" s="8">
        <v>-921</v>
      </c>
      <c r="F25" s="8">
        <v>-1087</v>
      </c>
      <c r="G25" s="9">
        <v>-1094</v>
      </c>
      <c r="H25" s="8">
        <v>-1551</v>
      </c>
      <c r="I25" s="8">
        <v>-1094</v>
      </c>
      <c r="J25" s="8">
        <v>-1659</v>
      </c>
      <c r="K25" s="9">
        <v>36</v>
      </c>
      <c r="L25" s="8">
        <v>-279</v>
      </c>
      <c r="M25" s="8">
        <v>24</v>
      </c>
      <c r="N25" s="8">
        <v>-168</v>
      </c>
      <c r="O25" s="9">
        <v>196</v>
      </c>
      <c r="P25" s="8">
        <v>60</v>
      </c>
      <c r="Q25" s="8">
        <v>281</v>
      </c>
      <c r="R25" s="8">
        <v>12</v>
      </c>
      <c r="S25" s="9">
        <v>243</v>
      </c>
      <c r="T25" s="24">
        <v>139</v>
      </c>
      <c r="U25" s="8"/>
      <c r="V25" s="8"/>
      <c r="W25" s="9"/>
    </row>
    <row r="26" spans="1:23" x14ac:dyDescent="0.35">
      <c r="A26" s="137" t="s">
        <v>14</v>
      </c>
      <c r="B26" s="59" t="s">
        <v>75</v>
      </c>
      <c r="C26" s="11" t="s">
        <v>57</v>
      </c>
      <c r="D26" s="6">
        <v>422</v>
      </c>
      <c r="E26" s="6">
        <v>599</v>
      </c>
      <c r="F26" s="6">
        <v>708</v>
      </c>
      <c r="G26" s="7">
        <v>600</v>
      </c>
      <c r="H26" s="6">
        <v>518</v>
      </c>
      <c r="I26" s="6">
        <v>582</v>
      </c>
      <c r="J26" s="6">
        <v>703</v>
      </c>
      <c r="K26" s="7">
        <v>694</v>
      </c>
      <c r="L26" s="6">
        <v>470</v>
      </c>
      <c r="M26" s="6">
        <v>495</v>
      </c>
      <c r="N26" s="6">
        <v>637</v>
      </c>
      <c r="O26" s="7">
        <v>514</v>
      </c>
      <c r="P26" s="6">
        <v>452</v>
      </c>
      <c r="Q26" s="6">
        <v>450</v>
      </c>
      <c r="R26" s="6">
        <v>592</v>
      </c>
      <c r="S26" s="7">
        <v>528</v>
      </c>
      <c r="T26" s="6">
        <v>423</v>
      </c>
      <c r="U26" s="6"/>
      <c r="V26" s="6"/>
      <c r="W26" s="7"/>
    </row>
    <row r="27" spans="1:23" x14ac:dyDescent="0.35">
      <c r="A27" s="173" t="s">
        <v>14</v>
      </c>
      <c r="B27" s="171" t="s">
        <v>75</v>
      </c>
      <c r="C27" s="11" t="s">
        <v>58</v>
      </c>
      <c r="D27" s="6">
        <v>51</v>
      </c>
      <c r="E27" s="6">
        <v>55</v>
      </c>
      <c r="F27" s="6">
        <v>60</v>
      </c>
      <c r="G27" s="7">
        <v>52</v>
      </c>
      <c r="H27" s="6">
        <v>42</v>
      </c>
      <c r="I27" s="6">
        <v>59</v>
      </c>
      <c r="J27" s="6">
        <v>43</v>
      </c>
      <c r="K27" s="7">
        <v>385</v>
      </c>
      <c r="L27" s="6">
        <v>72</v>
      </c>
      <c r="M27" s="6">
        <v>52</v>
      </c>
      <c r="N27" s="6">
        <v>31</v>
      </c>
      <c r="O27" s="7">
        <v>106</v>
      </c>
      <c r="P27" s="6">
        <v>37</v>
      </c>
      <c r="Q27" s="6">
        <v>26</v>
      </c>
      <c r="R27" s="6">
        <v>-14</v>
      </c>
      <c r="S27" s="7">
        <v>39</v>
      </c>
      <c r="T27" s="6">
        <v>37</v>
      </c>
      <c r="U27" s="6"/>
      <c r="V27" s="6"/>
      <c r="W27" s="7"/>
    </row>
    <row r="28" spans="1:23" x14ac:dyDescent="0.35">
      <c r="A28" s="173" t="s">
        <v>14</v>
      </c>
      <c r="B28" s="171" t="s">
        <v>75</v>
      </c>
      <c r="C28" s="12" t="s">
        <v>59</v>
      </c>
      <c r="D28" s="8">
        <v>558</v>
      </c>
      <c r="E28" s="8">
        <v>586</v>
      </c>
      <c r="F28" s="8">
        <v>756</v>
      </c>
      <c r="G28" s="9">
        <v>739</v>
      </c>
      <c r="H28" s="8">
        <v>875</v>
      </c>
      <c r="I28" s="8">
        <v>954</v>
      </c>
      <c r="J28" s="8">
        <v>1262</v>
      </c>
      <c r="K28" s="9">
        <v>1102</v>
      </c>
      <c r="L28" s="8">
        <v>1075</v>
      </c>
      <c r="M28" s="8">
        <v>710</v>
      </c>
      <c r="N28" s="8">
        <v>869</v>
      </c>
      <c r="O28" s="9">
        <v>850</v>
      </c>
      <c r="P28" s="8">
        <v>950</v>
      </c>
      <c r="Q28" s="8">
        <v>938</v>
      </c>
      <c r="R28" s="8">
        <v>885</v>
      </c>
      <c r="S28" s="9">
        <v>828</v>
      </c>
      <c r="T28" s="24">
        <v>929</v>
      </c>
      <c r="U28" s="8"/>
      <c r="V28" s="8"/>
      <c r="W28" s="9"/>
    </row>
    <row r="29" spans="1:23" ht="29" x14ac:dyDescent="0.35">
      <c r="A29" s="138" t="s">
        <v>15</v>
      </c>
      <c r="B29" s="59" t="s">
        <v>76</v>
      </c>
      <c r="C29" s="11" t="s">
        <v>57</v>
      </c>
      <c r="D29" s="6">
        <v>496</v>
      </c>
      <c r="E29" s="6">
        <v>602</v>
      </c>
      <c r="F29" s="6">
        <v>995</v>
      </c>
      <c r="G29" s="7">
        <v>820</v>
      </c>
      <c r="H29" s="6">
        <v>466</v>
      </c>
      <c r="I29" s="6">
        <v>747</v>
      </c>
      <c r="J29" s="6">
        <v>973</v>
      </c>
      <c r="K29" s="7">
        <v>745</v>
      </c>
      <c r="L29" s="6">
        <v>361.5</v>
      </c>
      <c r="M29" s="6">
        <v>756</v>
      </c>
      <c r="N29" s="6">
        <v>918</v>
      </c>
      <c r="O29" s="7">
        <v>826</v>
      </c>
      <c r="P29" s="6">
        <v>351.3</v>
      </c>
      <c r="Q29" s="6">
        <v>830</v>
      </c>
      <c r="R29" s="6">
        <v>971</v>
      </c>
      <c r="S29" s="7">
        <v>930</v>
      </c>
      <c r="T29" s="6"/>
      <c r="U29" s="6"/>
      <c r="V29" s="6"/>
      <c r="W29" s="7"/>
    </row>
    <row r="30" spans="1:23" ht="29" x14ac:dyDescent="0.35">
      <c r="A30" s="179" t="s">
        <v>15</v>
      </c>
      <c r="B30" s="171" t="s">
        <v>76</v>
      </c>
      <c r="C30" s="11" t="s">
        <v>58</v>
      </c>
      <c r="D30" s="6">
        <v>5</v>
      </c>
      <c r="E30" s="6">
        <v>12</v>
      </c>
      <c r="F30" s="6">
        <v>12</v>
      </c>
      <c r="G30" s="7">
        <v>39</v>
      </c>
      <c r="H30" s="6">
        <v>8.6999999999999993</v>
      </c>
      <c r="I30" s="6">
        <v>88</v>
      </c>
      <c r="J30" s="6">
        <v>43</v>
      </c>
      <c r="K30" s="7">
        <v>55</v>
      </c>
      <c r="L30" s="6">
        <v>14.9</v>
      </c>
      <c r="M30" s="6">
        <v>38</v>
      </c>
      <c r="N30" s="6">
        <v>27</v>
      </c>
      <c r="O30" s="7">
        <v>34</v>
      </c>
      <c r="P30" s="6">
        <v>12.7</v>
      </c>
      <c r="Q30" s="6">
        <v>37</v>
      </c>
      <c r="R30" s="6">
        <v>31</v>
      </c>
      <c r="S30" s="7">
        <v>20</v>
      </c>
      <c r="T30" s="6"/>
      <c r="U30" s="6"/>
      <c r="V30" s="6"/>
      <c r="W30" s="7"/>
    </row>
    <row r="31" spans="1:23" ht="29" x14ac:dyDescent="0.35">
      <c r="A31" s="179" t="s">
        <v>15</v>
      </c>
      <c r="B31" s="171" t="s">
        <v>76</v>
      </c>
      <c r="C31" s="12" t="s">
        <v>59</v>
      </c>
      <c r="D31" s="8">
        <v>-737</v>
      </c>
      <c r="E31" s="8">
        <v>-760</v>
      </c>
      <c r="F31" s="8">
        <v>-511</v>
      </c>
      <c r="G31" s="9">
        <v>-841</v>
      </c>
      <c r="H31" s="8">
        <v>-873.5</v>
      </c>
      <c r="I31" s="8">
        <v>-319</v>
      </c>
      <c r="J31" s="8">
        <v>-834</v>
      </c>
      <c r="K31" s="9">
        <v>-941</v>
      </c>
      <c r="L31" s="8">
        <v>-821</v>
      </c>
      <c r="M31" s="8">
        <v>-365</v>
      </c>
      <c r="N31" s="8">
        <v>-558</v>
      </c>
      <c r="O31" s="9">
        <v>-556</v>
      </c>
      <c r="P31" s="8">
        <v>-389.6</v>
      </c>
      <c r="Q31" s="8">
        <v>-253</v>
      </c>
      <c r="R31" s="8">
        <v>-446</v>
      </c>
      <c r="S31" s="9">
        <v>-593</v>
      </c>
      <c r="T31" s="6"/>
      <c r="U31" s="6"/>
      <c r="V31" s="6"/>
      <c r="W31" s="7"/>
    </row>
    <row r="32" spans="1:23" x14ac:dyDescent="0.35">
      <c r="A32" s="169" t="s">
        <v>44</v>
      </c>
      <c r="B32" s="169"/>
      <c r="C32" s="80"/>
      <c r="D32" s="80"/>
      <c r="E32" s="80"/>
      <c r="F32" s="80"/>
      <c r="G32" s="80"/>
      <c r="H32" s="80"/>
      <c r="I32" s="80"/>
      <c r="J32" s="80"/>
      <c r="K32" s="80"/>
      <c r="L32" s="80"/>
      <c r="M32" s="80"/>
      <c r="N32" s="80"/>
      <c r="O32" s="80"/>
      <c r="P32" s="80"/>
      <c r="Q32" s="80"/>
      <c r="R32" s="80"/>
      <c r="S32" s="81"/>
      <c r="T32" s="168"/>
      <c r="U32" s="169"/>
      <c r="V32" s="169"/>
      <c r="W32" s="101"/>
    </row>
    <row r="33" spans="1:23" x14ac:dyDescent="0.35">
      <c r="A33" s="137" t="s">
        <v>16</v>
      </c>
      <c r="B33" s="59" t="s">
        <v>77</v>
      </c>
      <c r="C33" s="10" t="s">
        <v>57</v>
      </c>
      <c r="D33" s="4">
        <v>342.87</v>
      </c>
      <c r="E33" s="4">
        <v>527.14</v>
      </c>
      <c r="F33" s="4">
        <v>284.8</v>
      </c>
      <c r="G33" s="5">
        <v>559</v>
      </c>
      <c r="H33" s="4">
        <v>520.66</v>
      </c>
      <c r="I33" s="4">
        <v>514.05999999999995</v>
      </c>
      <c r="J33" s="4">
        <v>382.89</v>
      </c>
      <c r="K33" s="5">
        <v>902.1</v>
      </c>
      <c r="L33" s="4">
        <v>603.32000000000005</v>
      </c>
      <c r="M33" s="4">
        <v>849</v>
      </c>
      <c r="N33" s="4">
        <v>382.89</v>
      </c>
      <c r="O33" s="5">
        <v>838.24</v>
      </c>
      <c r="P33" s="4">
        <v>734.51</v>
      </c>
      <c r="Q33" s="4">
        <v>788.61</v>
      </c>
      <c r="R33" s="4">
        <v>854.37</v>
      </c>
      <c r="S33" s="5">
        <v>1343</v>
      </c>
      <c r="T33" s="6">
        <v>771.92</v>
      </c>
      <c r="U33" s="6"/>
      <c r="V33" s="6"/>
      <c r="W33" s="7"/>
    </row>
    <row r="34" spans="1:23" x14ac:dyDescent="0.35">
      <c r="A34" s="173" t="s">
        <v>16</v>
      </c>
      <c r="B34" s="171" t="s">
        <v>77</v>
      </c>
      <c r="C34" s="11" t="s">
        <v>58</v>
      </c>
      <c r="D34" s="6">
        <v>6.07</v>
      </c>
      <c r="E34" s="6">
        <v>3.96</v>
      </c>
      <c r="F34" s="6">
        <v>39.26</v>
      </c>
      <c r="G34" s="7">
        <v>17.77</v>
      </c>
      <c r="H34" s="6">
        <v>7.33</v>
      </c>
      <c r="I34" s="6">
        <v>17.940000000000001</v>
      </c>
      <c r="J34" s="6">
        <v>5.64</v>
      </c>
      <c r="K34" s="7">
        <v>4.5999999999999996</v>
      </c>
      <c r="L34" s="6">
        <v>16.77</v>
      </c>
      <c r="M34" s="6">
        <v>21.64</v>
      </c>
      <c r="N34" s="6">
        <v>28.38</v>
      </c>
      <c r="O34" s="7">
        <v>4.0999999999999996</v>
      </c>
      <c r="P34" s="6">
        <v>8.61</v>
      </c>
      <c r="Q34" s="6">
        <v>28.85</v>
      </c>
      <c r="R34" s="6">
        <v>207.34</v>
      </c>
      <c r="S34" s="7">
        <v>166</v>
      </c>
      <c r="T34" s="6">
        <v>50.4</v>
      </c>
      <c r="U34" s="6"/>
      <c r="V34" s="6"/>
      <c r="W34" s="7"/>
    </row>
    <row r="35" spans="1:23" x14ac:dyDescent="0.35">
      <c r="A35" s="173" t="s">
        <v>16</v>
      </c>
      <c r="B35" s="171" t="s">
        <v>77</v>
      </c>
      <c r="C35" s="12" t="s">
        <v>59</v>
      </c>
      <c r="D35" s="8">
        <v>1032.8599999999999</v>
      </c>
      <c r="E35" s="8">
        <v>1078.43</v>
      </c>
      <c r="F35" s="8">
        <v>861.3</v>
      </c>
      <c r="G35" s="9">
        <v>843.93</v>
      </c>
      <c r="H35" s="8">
        <v>936.71</v>
      </c>
      <c r="I35" s="8">
        <v>1169.48</v>
      </c>
      <c r="J35" s="8">
        <v>1108.6199999999999</v>
      </c>
      <c r="K35" s="9">
        <v>1015.9</v>
      </c>
      <c r="L35" s="8">
        <v>872.34</v>
      </c>
      <c r="M35" s="8">
        <v>973.61</v>
      </c>
      <c r="N35" s="8">
        <v>1108.6199999999999</v>
      </c>
      <c r="O35" s="9">
        <v>1001.67</v>
      </c>
      <c r="P35" s="8">
        <v>1060.71</v>
      </c>
      <c r="Q35" s="8">
        <v>1555.69</v>
      </c>
      <c r="R35" s="8">
        <v>1547.01</v>
      </c>
      <c r="S35" s="9">
        <v>1640</v>
      </c>
      <c r="T35" s="24">
        <v>1818.01</v>
      </c>
      <c r="U35" s="8"/>
      <c r="V35" s="8"/>
      <c r="W35" s="9"/>
    </row>
    <row r="36" spans="1:23" x14ac:dyDescent="0.35">
      <c r="A36" s="137" t="s">
        <v>17</v>
      </c>
      <c r="B36" s="59" t="s">
        <v>78</v>
      </c>
      <c r="C36" s="11" t="s">
        <v>57</v>
      </c>
      <c r="D36" s="6">
        <v>2077</v>
      </c>
      <c r="E36" s="6">
        <v>1927</v>
      </c>
      <c r="F36" s="6">
        <v>1898</v>
      </c>
      <c r="G36" s="7">
        <v>2082</v>
      </c>
      <c r="H36" s="6">
        <v>2131</v>
      </c>
      <c r="I36" s="6">
        <v>1999</v>
      </c>
      <c r="J36" s="6">
        <v>1952</v>
      </c>
      <c r="K36" s="7">
        <v>2130</v>
      </c>
      <c r="L36" s="6">
        <v>1884</v>
      </c>
      <c r="M36" s="6">
        <v>1807</v>
      </c>
      <c r="N36" s="6">
        <v>2110</v>
      </c>
      <c r="O36" s="7">
        <v>2354</v>
      </c>
      <c r="P36" s="6">
        <v>2048</v>
      </c>
      <c r="Q36" s="6">
        <v>2111</v>
      </c>
      <c r="R36" s="6">
        <v>2367</v>
      </c>
      <c r="S36" s="7">
        <v>2354</v>
      </c>
      <c r="T36" s="6">
        <v>1774</v>
      </c>
      <c r="U36" s="6"/>
      <c r="V36" s="6"/>
      <c r="W36" s="7"/>
    </row>
    <row r="37" spans="1:23" x14ac:dyDescent="0.35">
      <c r="A37" s="173" t="s">
        <v>17</v>
      </c>
      <c r="B37" s="171" t="s">
        <v>78</v>
      </c>
      <c r="C37" s="12" t="s">
        <v>59</v>
      </c>
      <c r="D37" s="8">
        <v>5142</v>
      </c>
      <c r="E37" s="8">
        <v>6270</v>
      </c>
      <c r="F37" s="8">
        <v>5998</v>
      </c>
      <c r="G37" s="9">
        <v>5486</v>
      </c>
      <c r="H37" s="8">
        <v>4887</v>
      </c>
      <c r="I37" s="8">
        <v>4600</v>
      </c>
      <c r="J37" s="8">
        <v>5439</v>
      </c>
      <c r="K37" s="9">
        <v>4864</v>
      </c>
      <c r="L37" s="8">
        <v>4622</v>
      </c>
      <c r="M37" s="8">
        <v>5661</v>
      </c>
      <c r="N37" s="8">
        <v>4832</v>
      </c>
      <c r="O37" s="9">
        <v>4034</v>
      </c>
      <c r="P37" s="8">
        <v>3876</v>
      </c>
      <c r="Q37" s="8">
        <v>4881</v>
      </c>
      <c r="R37" s="8">
        <v>4004</v>
      </c>
      <c r="S37" s="9">
        <v>4034</v>
      </c>
      <c r="T37" s="24">
        <v>3439</v>
      </c>
      <c r="U37" s="8"/>
      <c r="V37" s="8"/>
      <c r="W37" s="9"/>
    </row>
    <row r="38" spans="1:23" x14ac:dyDescent="0.35">
      <c r="A38" s="137" t="s">
        <v>18</v>
      </c>
      <c r="B38" s="59" t="s">
        <v>79</v>
      </c>
      <c r="C38" s="11" t="s">
        <v>57</v>
      </c>
      <c r="D38" s="6">
        <v>1345</v>
      </c>
      <c r="E38" s="6">
        <v>1107</v>
      </c>
      <c r="F38" s="6">
        <v>1196</v>
      </c>
      <c r="G38" s="7">
        <v>1240</v>
      </c>
      <c r="H38" s="6">
        <v>1343</v>
      </c>
      <c r="I38" s="6">
        <v>1200</v>
      </c>
      <c r="J38" s="6">
        <v>1126</v>
      </c>
      <c r="K38" s="7">
        <v>1326</v>
      </c>
      <c r="L38" s="6">
        <v>1249</v>
      </c>
      <c r="M38" s="6">
        <v>1188</v>
      </c>
      <c r="N38" s="6">
        <v>1365</v>
      </c>
      <c r="O38" s="7">
        <v>1692</v>
      </c>
      <c r="P38" s="6">
        <v>1551</v>
      </c>
      <c r="Q38" s="6">
        <v>1503</v>
      </c>
      <c r="R38" s="6">
        <v>1478</v>
      </c>
      <c r="S38" s="7">
        <v>1854</v>
      </c>
      <c r="T38" s="6">
        <v>1395</v>
      </c>
      <c r="U38" s="6"/>
      <c r="V38" s="6"/>
      <c r="W38" s="7"/>
    </row>
    <row r="39" spans="1:23" x14ac:dyDescent="0.35">
      <c r="A39" s="173" t="s">
        <v>18</v>
      </c>
      <c r="B39" s="171" t="s">
        <v>79</v>
      </c>
      <c r="C39" s="11" t="s">
        <v>58</v>
      </c>
      <c r="D39" s="6">
        <v>1</v>
      </c>
      <c r="E39" s="6">
        <v>21</v>
      </c>
      <c r="F39" s="6">
        <v>24</v>
      </c>
      <c r="G39" s="7">
        <v>96</v>
      </c>
      <c r="H39" s="6">
        <v>15</v>
      </c>
      <c r="I39" s="6">
        <v>58</v>
      </c>
      <c r="J39" s="6">
        <v>17</v>
      </c>
      <c r="K39" s="7">
        <v>129</v>
      </c>
      <c r="L39" s="6">
        <v>12</v>
      </c>
      <c r="M39" s="6">
        <v>62</v>
      </c>
      <c r="N39" s="6">
        <v>32</v>
      </c>
      <c r="O39" s="7">
        <v>91</v>
      </c>
      <c r="P39" s="6">
        <v>40</v>
      </c>
      <c r="Q39" s="6">
        <v>60</v>
      </c>
      <c r="R39" s="6">
        <v>52</v>
      </c>
      <c r="S39" s="7">
        <v>125</v>
      </c>
      <c r="T39" s="6">
        <v>101</v>
      </c>
      <c r="U39" s="6"/>
      <c r="V39" s="6"/>
      <c r="W39" s="7"/>
    </row>
    <row r="40" spans="1:23" x14ac:dyDescent="0.35">
      <c r="A40" s="173" t="s">
        <v>18</v>
      </c>
      <c r="B40" s="171" t="s">
        <v>79</v>
      </c>
      <c r="C40" s="12" t="s">
        <v>59</v>
      </c>
      <c r="D40" s="8">
        <v>-974</v>
      </c>
      <c r="E40" s="8">
        <v>-816</v>
      </c>
      <c r="F40" s="8">
        <v>-878</v>
      </c>
      <c r="G40" s="9">
        <v>-852</v>
      </c>
      <c r="H40" s="8">
        <v>-928</v>
      </c>
      <c r="I40" s="8">
        <v>-778</v>
      </c>
      <c r="J40" s="8">
        <v>-702</v>
      </c>
      <c r="K40" s="9">
        <v>-768</v>
      </c>
      <c r="L40" s="8">
        <v>-769</v>
      </c>
      <c r="M40" s="8">
        <v>-532</v>
      </c>
      <c r="N40" s="8">
        <v>-656</v>
      </c>
      <c r="O40" s="9">
        <v>-722</v>
      </c>
      <c r="P40" s="8">
        <v>-572</v>
      </c>
      <c r="Q40" s="8">
        <v>-341</v>
      </c>
      <c r="R40" s="8">
        <v>-413</v>
      </c>
      <c r="S40" s="9">
        <v>-400</v>
      </c>
      <c r="T40" s="24">
        <v>-499</v>
      </c>
      <c r="U40" s="8"/>
      <c r="V40" s="8"/>
      <c r="W40" s="9"/>
    </row>
    <row r="41" spans="1:23" x14ac:dyDescent="0.35">
      <c r="A41" s="137" t="s">
        <v>19</v>
      </c>
      <c r="B41" s="59" t="s">
        <v>80</v>
      </c>
      <c r="C41" s="11" t="s">
        <v>57</v>
      </c>
      <c r="D41" s="6">
        <v>1128</v>
      </c>
      <c r="E41" s="6">
        <v>1121.9000000000001</v>
      </c>
      <c r="F41" s="6">
        <v>1111.0999999999999</v>
      </c>
      <c r="G41" s="7">
        <v>1700.4</v>
      </c>
      <c r="H41" s="6">
        <v>1228</v>
      </c>
      <c r="I41" s="6">
        <v>1684.8</v>
      </c>
      <c r="J41" s="6">
        <v>1979</v>
      </c>
      <c r="K41" s="7">
        <v>2212.6999999999998</v>
      </c>
      <c r="L41" s="6">
        <v>1708.7</v>
      </c>
      <c r="M41" s="6">
        <v>2077.6999999999998</v>
      </c>
      <c r="N41" s="6">
        <v>2015.1</v>
      </c>
      <c r="O41" s="7">
        <v>2245.5</v>
      </c>
      <c r="P41" s="6">
        <v>1844.8</v>
      </c>
      <c r="Q41" s="6">
        <v>3124.3</v>
      </c>
      <c r="R41" s="6">
        <v>3201.2</v>
      </c>
      <c r="S41" s="7">
        <v>3662</v>
      </c>
      <c r="T41" s="6">
        <v>2076.3000000000002</v>
      </c>
      <c r="U41" s="6"/>
      <c r="V41" s="6"/>
      <c r="W41" s="7"/>
    </row>
    <row r="42" spans="1:23" x14ac:dyDescent="0.35">
      <c r="A42" s="173" t="s">
        <v>19</v>
      </c>
      <c r="B42" s="171" t="s">
        <v>80</v>
      </c>
      <c r="C42" s="11" t="s">
        <v>58</v>
      </c>
      <c r="D42" s="6">
        <v>18.7</v>
      </c>
      <c r="E42" s="6">
        <v>21.2</v>
      </c>
      <c r="F42" s="6">
        <v>32.200000000000003</v>
      </c>
      <c r="G42" s="7">
        <v>51.5</v>
      </c>
      <c r="H42" s="6">
        <v>76.8</v>
      </c>
      <c r="I42" s="6">
        <v>90.4</v>
      </c>
      <c r="J42" s="6">
        <v>86.8</v>
      </c>
      <c r="K42" s="7">
        <v>53.7</v>
      </c>
      <c r="L42" s="6">
        <v>46.5</v>
      </c>
      <c r="M42" s="6">
        <v>31.8</v>
      </c>
      <c r="N42" s="6">
        <v>45.8</v>
      </c>
      <c r="O42" s="7">
        <v>48.8</v>
      </c>
      <c r="P42" s="6">
        <v>99</v>
      </c>
      <c r="Q42" s="6">
        <v>107.4</v>
      </c>
      <c r="R42" s="6">
        <v>325.10000000000002</v>
      </c>
      <c r="S42" s="7">
        <v>78</v>
      </c>
      <c r="T42" s="6">
        <v>83.7</v>
      </c>
      <c r="U42" s="6"/>
      <c r="V42" s="6"/>
      <c r="W42" s="7"/>
    </row>
    <row r="43" spans="1:23" x14ac:dyDescent="0.35">
      <c r="A43" s="173" t="s">
        <v>19</v>
      </c>
      <c r="B43" s="171" t="s">
        <v>80</v>
      </c>
      <c r="C43" s="12" t="s">
        <v>59</v>
      </c>
      <c r="D43" s="8">
        <v>696</v>
      </c>
      <c r="E43" s="8">
        <v>907</v>
      </c>
      <c r="F43" s="8">
        <v>884.4</v>
      </c>
      <c r="G43" s="9">
        <v>664</v>
      </c>
      <c r="H43" s="8">
        <v>892.5</v>
      </c>
      <c r="I43" s="8">
        <v>797.8</v>
      </c>
      <c r="J43" s="8">
        <v>981.1</v>
      </c>
      <c r="K43" s="9">
        <v>979.1</v>
      </c>
      <c r="L43" s="8">
        <v>890.2</v>
      </c>
      <c r="M43" s="8">
        <v>-1135.3</v>
      </c>
      <c r="N43" s="8">
        <v>111.2</v>
      </c>
      <c r="O43" s="9">
        <v>674.6</v>
      </c>
      <c r="P43" s="8">
        <v>738.7</v>
      </c>
      <c r="Q43" s="8">
        <v>3062.2</v>
      </c>
      <c r="R43" s="8">
        <v>1204.5999999999999</v>
      </c>
      <c r="S43" s="9">
        <v>609.79999999999995</v>
      </c>
      <c r="T43" s="24">
        <v>1106.7</v>
      </c>
      <c r="U43" s="8"/>
      <c r="V43" s="8"/>
      <c r="W43" s="9"/>
    </row>
    <row r="44" spans="1:23" x14ac:dyDescent="0.35">
      <c r="A44" s="140" t="s">
        <v>100</v>
      </c>
      <c r="B44" s="59" t="s">
        <v>101</v>
      </c>
      <c r="C44" s="10" t="s">
        <v>57</v>
      </c>
      <c r="D44" s="27"/>
      <c r="E44" s="28"/>
      <c r="F44" s="28"/>
      <c r="G44" s="29"/>
      <c r="H44" s="28"/>
      <c r="I44" s="28"/>
      <c r="J44" s="28"/>
      <c r="K44" s="29"/>
      <c r="L44" s="28"/>
      <c r="M44" s="28"/>
      <c r="N44" s="28"/>
      <c r="O44" s="29"/>
      <c r="P44" s="28"/>
      <c r="Q44" s="28"/>
      <c r="R44" s="28"/>
      <c r="S44" s="5">
        <v>4886</v>
      </c>
      <c r="T44" s="6">
        <v>3023</v>
      </c>
      <c r="U44" s="6"/>
      <c r="V44" s="6"/>
      <c r="W44" s="7"/>
    </row>
    <row r="45" spans="1:23" x14ac:dyDescent="0.35">
      <c r="A45" s="177" t="s">
        <v>100</v>
      </c>
      <c r="B45" s="171" t="s">
        <v>101</v>
      </c>
      <c r="C45" s="11" t="s">
        <v>58</v>
      </c>
      <c r="D45" s="30"/>
      <c r="E45" s="31"/>
      <c r="F45" s="31"/>
      <c r="G45" s="32"/>
      <c r="H45" s="31"/>
      <c r="I45" s="31"/>
      <c r="J45" s="31"/>
      <c r="K45" s="32"/>
      <c r="L45" s="31"/>
      <c r="M45" s="31"/>
      <c r="N45" s="31"/>
      <c r="O45" s="32"/>
      <c r="P45" s="31"/>
      <c r="Q45" s="31"/>
      <c r="R45" s="31"/>
      <c r="S45" s="7">
        <v>306</v>
      </c>
      <c r="T45" s="6">
        <v>130</v>
      </c>
      <c r="U45" s="6"/>
      <c r="V45" s="6"/>
      <c r="W45" s="7"/>
    </row>
    <row r="46" spans="1:23" x14ac:dyDescent="0.35">
      <c r="A46" s="187" t="s">
        <v>100</v>
      </c>
      <c r="B46" s="174" t="s">
        <v>101</v>
      </c>
      <c r="C46" s="12" t="s">
        <v>59</v>
      </c>
      <c r="D46" s="33"/>
      <c r="E46" s="34"/>
      <c r="F46" s="34"/>
      <c r="G46" s="35"/>
      <c r="H46" s="34"/>
      <c r="I46" s="34"/>
      <c r="J46" s="34"/>
      <c r="K46" s="35"/>
      <c r="L46" s="34"/>
      <c r="M46" s="34"/>
      <c r="N46" s="34"/>
      <c r="O46" s="35"/>
      <c r="P46" s="34"/>
      <c r="Q46" s="34"/>
      <c r="R46" s="34"/>
      <c r="S46" s="9">
        <v>156</v>
      </c>
      <c r="T46" s="6">
        <v>-12.8</v>
      </c>
      <c r="U46" s="6"/>
      <c r="V46" s="6"/>
      <c r="W46" s="7"/>
    </row>
    <row r="47" spans="1:23" x14ac:dyDescent="0.35">
      <c r="A47" s="173" t="s">
        <v>163</v>
      </c>
      <c r="B47" s="171" t="s">
        <v>164</v>
      </c>
      <c r="C47" s="10" t="s">
        <v>57</v>
      </c>
      <c r="D47" s="23">
        <v>955</v>
      </c>
      <c r="E47" s="23">
        <f>2024-Table_Trims[[#This Row],[2022_T1]]</f>
        <v>1069</v>
      </c>
      <c r="F47" s="23">
        <v>848</v>
      </c>
      <c r="G47" s="191">
        <f>4068-Table_Trims[[#This Row],[2022_T3]]-Table_Trims[[#This Row],[2022_T2]]-Table_Trims[[#This Row],[2022_T1]]</f>
        <v>1196</v>
      </c>
      <c r="H47" s="23">
        <v>917.8</v>
      </c>
      <c r="I47" s="23">
        <f>2159-Table_Trims[[#This Row],[2023_T1]]</f>
        <v>1241.2</v>
      </c>
      <c r="J47" s="23">
        <v>880</v>
      </c>
      <c r="K47" s="23">
        <f>4333-Table_Trims[[#This Row],[2023_T3]]-Table_Trims[[#This Row],[2023_T2]]-Table_Trims[[#This Row],[2023_T1]]</f>
        <v>1294.0000000000002</v>
      </c>
      <c r="L47" s="188">
        <v>870.1</v>
      </c>
      <c r="M47" s="23">
        <f>1999-Table_Trims[[#This Row],[2024_T1]]</f>
        <v>1128.9000000000001</v>
      </c>
      <c r="N47" s="23">
        <v>1009</v>
      </c>
      <c r="O47" s="40">
        <f>4387-Table_Trims[[#This Row],[2024_T3]]-Table_Trims[[#This Row],[2024_T2]]-Table_Trims[[#This Row],[2024_T1]]</f>
        <v>1379</v>
      </c>
      <c r="P47" s="23">
        <v>991.7</v>
      </c>
      <c r="Q47" s="23">
        <f>2202-Table_Trims[[#This Row],[2025_T1]]</f>
        <v>1210.3</v>
      </c>
      <c r="R47" s="23">
        <v>1074</v>
      </c>
      <c r="S47" s="7">
        <f>5408-Table_Trims[[#This Row],[2025_T3]]-Table_Trims[[#This Row],[2025_T2]]-Table_Trims[[#This Row],[2025_T1]]</f>
        <v>2132</v>
      </c>
      <c r="T47" s="6">
        <v>913</v>
      </c>
      <c r="U47" s="6"/>
      <c r="V47" s="6"/>
      <c r="W47" s="7"/>
    </row>
    <row r="48" spans="1:23" x14ac:dyDescent="0.35">
      <c r="A48" s="173" t="s">
        <v>163</v>
      </c>
      <c r="B48" s="171" t="s">
        <v>164</v>
      </c>
      <c r="C48" s="12" t="s">
        <v>58</v>
      </c>
      <c r="D48" s="189">
        <v>47</v>
      </c>
      <c r="E48" s="36">
        <v>113</v>
      </c>
      <c r="F48" s="36">
        <v>57</v>
      </c>
      <c r="G48" s="190">
        <v>108</v>
      </c>
      <c r="H48" s="36">
        <v>47.3</v>
      </c>
      <c r="I48" s="36">
        <v>15</v>
      </c>
      <c r="J48" s="36">
        <v>32</v>
      </c>
      <c r="K48" s="36">
        <v>59</v>
      </c>
      <c r="L48" s="189">
        <v>11.8</v>
      </c>
      <c r="M48" s="36">
        <v>18</v>
      </c>
      <c r="N48" s="36">
        <v>40</v>
      </c>
      <c r="O48" s="190">
        <v>110</v>
      </c>
      <c r="P48" s="36">
        <v>7.4</v>
      </c>
      <c r="Q48" s="36">
        <v>31</v>
      </c>
      <c r="R48" s="36">
        <v>32</v>
      </c>
      <c r="S48" s="9"/>
      <c r="T48" s="6">
        <v>25</v>
      </c>
      <c r="U48" s="6"/>
      <c r="V48" s="6"/>
      <c r="W48" s="7"/>
    </row>
    <row r="49" spans="1:23" x14ac:dyDescent="0.35">
      <c r="A49" s="169" t="s">
        <v>45</v>
      </c>
      <c r="B49" s="169"/>
      <c r="C49" s="80"/>
      <c r="D49" s="80"/>
      <c r="E49" s="80"/>
      <c r="F49" s="80"/>
      <c r="G49" s="80"/>
      <c r="H49" s="80"/>
      <c r="I49" s="80"/>
      <c r="J49" s="80"/>
      <c r="K49" s="80"/>
      <c r="L49" s="80"/>
      <c r="M49" s="80"/>
      <c r="N49" s="80"/>
      <c r="O49" s="80"/>
      <c r="P49" s="80"/>
      <c r="Q49" s="80"/>
      <c r="R49" s="80"/>
      <c r="S49" s="182"/>
      <c r="T49" s="168"/>
      <c r="U49" s="169"/>
      <c r="V49" s="169"/>
      <c r="W49" s="101"/>
    </row>
    <row r="50" spans="1:23" x14ac:dyDescent="0.35">
      <c r="A50" s="137" t="s">
        <v>20</v>
      </c>
      <c r="B50" s="59" t="s">
        <v>81</v>
      </c>
      <c r="C50" s="10" t="s">
        <v>57</v>
      </c>
      <c r="D50" s="4">
        <v>2988.26</v>
      </c>
      <c r="E50" s="4">
        <v>3212.98</v>
      </c>
      <c r="F50" s="4">
        <v>4016.22</v>
      </c>
      <c r="G50" s="5">
        <f>3729.37</f>
        <v>3729.37</v>
      </c>
      <c r="H50" s="4">
        <v>3777.01</v>
      </c>
      <c r="I50" s="4">
        <v>3755.95</v>
      </c>
      <c r="J50" s="4">
        <v>4294.12</v>
      </c>
      <c r="K50" s="5">
        <v>3973</v>
      </c>
      <c r="L50" s="4">
        <v>3825</v>
      </c>
      <c r="M50" s="4">
        <v>3958</v>
      </c>
      <c r="N50" s="4">
        <v>4308</v>
      </c>
      <c r="O50" s="5">
        <v>4327</v>
      </c>
      <c r="P50" s="4">
        <v>4158</v>
      </c>
      <c r="Q50" s="4">
        <v>4569</v>
      </c>
      <c r="R50" s="4">
        <v>4867</v>
      </c>
      <c r="S50" s="5">
        <v>4940</v>
      </c>
      <c r="T50" s="6">
        <v>4818</v>
      </c>
      <c r="U50" s="6"/>
      <c r="V50" s="6"/>
      <c r="W50" s="7"/>
    </row>
    <row r="51" spans="1:23" x14ac:dyDescent="0.35">
      <c r="A51" s="173" t="s">
        <v>20</v>
      </c>
      <c r="B51" s="171" t="s">
        <v>81</v>
      </c>
      <c r="C51" s="11" t="s">
        <v>58</v>
      </c>
      <c r="D51" s="6">
        <v>207.17</v>
      </c>
      <c r="E51" s="6">
        <v>311.10000000000002</v>
      </c>
      <c r="F51" s="6">
        <v>291.43</v>
      </c>
      <c r="G51" s="7">
        <v>363.65</v>
      </c>
      <c r="H51" s="6">
        <v>279.44</v>
      </c>
      <c r="I51" s="6">
        <v>302.74</v>
      </c>
      <c r="J51" s="6">
        <v>301.77</v>
      </c>
      <c r="K51" s="7">
        <v>335</v>
      </c>
      <c r="L51" s="6">
        <v>328</v>
      </c>
      <c r="M51" s="6">
        <v>-222</v>
      </c>
      <c r="N51" s="6">
        <v>284</v>
      </c>
      <c r="O51" s="7">
        <v>520</v>
      </c>
      <c r="P51" s="6">
        <v>331</v>
      </c>
      <c r="Q51" s="6">
        <v>420</v>
      </c>
      <c r="R51" s="6">
        <v>453</v>
      </c>
      <c r="S51" s="7">
        <v>2</v>
      </c>
      <c r="T51" s="6">
        <v>71</v>
      </c>
      <c r="U51" s="6"/>
      <c r="V51" s="6"/>
      <c r="W51" s="7"/>
    </row>
    <row r="52" spans="1:23" x14ac:dyDescent="0.35">
      <c r="A52" s="173" t="s">
        <v>20</v>
      </c>
      <c r="B52" s="171" t="s">
        <v>81</v>
      </c>
      <c r="C52" s="12" t="s">
        <v>59</v>
      </c>
      <c r="D52" s="8">
        <v>3081.57</v>
      </c>
      <c r="E52" s="8">
        <v>3131.13</v>
      </c>
      <c r="F52" s="8">
        <v>2923.31</v>
      </c>
      <c r="G52" s="9">
        <v>3176.12</v>
      </c>
      <c r="H52" s="8">
        <v>3453.34</v>
      </c>
      <c r="I52" s="8">
        <v>3455.01</v>
      </c>
      <c r="J52" s="8">
        <v>3404.24</v>
      </c>
      <c r="K52" s="9">
        <v>3789</v>
      </c>
      <c r="L52" s="8">
        <v>4428</v>
      </c>
      <c r="M52" s="8">
        <v>3869</v>
      </c>
      <c r="N52" s="8">
        <v>3853</v>
      </c>
      <c r="O52" s="9">
        <v>3973</v>
      </c>
      <c r="P52" s="8">
        <v>4307</v>
      </c>
      <c r="Q52" s="8">
        <v>4114</v>
      </c>
      <c r="R52" s="8">
        <v>4317</v>
      </c>
      <c r="S52" s="9">
        <v>4606</v>
      </c>
      <c r="T52" s="6">
        <v>4748</v>
      </c>
      <c r="U52" s="6"/>
      <c r="V52" s="6"/>
      <c r="W52" s="7"/>
    </row>
    <row r="53" spans="1:23" x14ac:dyDescent="0.35">
      <c r="A53" s="169" t="s">
        <v>154</v>
      </c>
      <c r="B53" s="169"/>
      <c r="C53" s="169"/>
      <c r="D53" s="169"/>
      <c r="E53" s="169"/>
      <c r="F53" s="169"/>
      <c r="G53" s="169"/>
      <c r="H53" s="169"/>
      <c r="I53" s="169"/>
      <c r="J53" s="169"/>
      <c r="K53" s="169"/>
      <c r="L53" s="169"/>
      <c r="M53" s="169"/>
      <c r="N53" s="169"/>
      <c r="O53" s="169"/>
      <c r="P53" s="169"/>
      <c r="Q53" s="169"/>
      <c r="R53" s="169"/>
      <c r="S53" s="101"/>
      <c r="T53" s="168"/>
      <c r="U53" s="169"/>
      <c r="V53" s="169"/>
      <c r="W53" s="101"/>
    </row>
    <row r="54" spans="1:23" x14ac:dyDescent="0.35">
      <c r="A54" s="183" t="s">
        <v>155</v>
      </c>
      <c r="B54" s="59" t="s">
        <v>157</v>
      </c>
      <c r="C54" s="10" t="s">
        <v>57</v>
      </c>
      <c r="D54" s="4">
        <v>1156</v>
      </c>
      <c r="E54" s="4">
        <v>1306</v>
      </c>
      <c r="F54" s="4">
        <v>1203</v>
      </c>
      <c r="G54" s="5">
        <v>1180</v>
      </c>
      <c r="H54" s="4">
        <v>1069</v>
      </c>
      <c r="I54" s="4">
        <v>1131</v>
      </c>
      <c r="J54" s="4">
        <v>1356</v>
      </c>
      <c r="K54" s="5">
        <v>1361</v>
      </c>
      <c r="L54" s="4">
        <v>1169</v>
      </c>
      <c r="M54" s="4">
        <v>1258</v>
      </c>
      <c r="N54" s="4">
        <v>1141</v>
      </c>
      <c r="O54" s="5">
        <v>1450</v>
      </c>
      <c r="P54" s="4">
        <v>1224</v>
      </c>
      <c r="Q54" s="4">
        <v>1470</v>
      </c>
      <c r="R54" s="4">
        <v>1477</v>
      </c>
      <c r="S54" s="5">
        <v>1739</v>
      </c>
      <c r="T54" s="4">
        <v>1621</v>
      </c>
      <c r="U54" s="4"/>
      <c r="V54" s="4"/>
      <c r="W54" s="5"/>
    </row>
    <row r="55" spans="1:23" x14ac:dyDescent="0.35">
      <c r="A55" s="173" t="s">
        <v>156</v>
      </c>
      <c r="B55" s="171" t="s">
        <v>158</v>
      </c>
      <c r="C55" s="12" t="s">
        <v>57</v>
      </c>
      <c r="D55" s="84">
        <v>494</v>
      </c>
      <c r="E55" s="84">
        <v>471</v>
      </c>
      <c r="F55" s="84">
        <v>671</v>
      </c>
      <c r="G55" s="180">
        <v>465</v>
      </c>
      <c r="H55" s="84">
        <v>622</v>
      </c>
      <c r="I55" s="84">
        <v>466</v>
      </c>
      <c r="J55" s="8">
        <v>505</v>
      </c>
      <c r="K55" s="9">
        <v>633</v>
      </c>
      <c r="L55" s="8">
        <v>647</v>
      </c>
      <c r="M55" s="8">
        <v>643</v>
      </c>
      <c r="N55" s="8">
        <v>649</v>
      </c>
      <c r="O55" s="9">
        <v>891</v>
      </c>
      <c r="P55" s="8">
        <v>792</v>
      </c>
      <c r="Q55" s="8">
        <v>1002</v>
      </c>
      <c r="R55" s="8">
        <v>1060</v>
      </c>
      <c r="S55" s="7">
        <v>1281</v>
      </c>
      <c r="T55" s="6">
        <v>815</v>
      </c>
      <c r="U55" s="6"/>
      <c r="V55" s="6"/>
      <c r="W55" s="7"/>
    </row>
    <row r="56" spans="1:23" x14ac:dyDescent="0.35">
      <c r="A56" s="169" t="s">
        <v>103</v>
      </c>
      <c r="B56" s="169"/>
      <c r="C56" s="80"/>
      <c r="D56" s="80"/>
      <c r="E56" s="80"/>
      <c r="F56" s="80"/>
      <c r="G56" s="80"/>
      <c r="H56" s="80"/>
      <c r="I56" s="80"/>
      <c r="J56" s="80"/>
      <c r="K56" s="80"/>
      <c r="L56" s="80"/>
      <c r="M56" s="80"/>
      <c r="N56" s="80"/>
      <c r="O56" s="80"/>
      <c r="P56" s="80"/>
      <c r="Q56" s="80"/>
      <c r="R56" s="80"/>
      <c r="S56" s="101"/>
      <c r="T56" s="168"/>
      <c r="U56" s="169"/>
      <c r="V56" s="169"/>
      <c r="W56" s="101"/>
    </row>
    <row r="57" spans="1:23" x14ac:dyDescent="0.35">
      <c r="A57" s="137" t="s">
        <v>21</v>
      </c>
      <c r="B57" s="59" t="s">
        <v>82</v>
      </c>
      <c r="C57" s="10" t="s">
        <v>57</v>
      </c>
      <c r="D57" s="4">
        <v>2658</v>
      </c>
      <c r="E57" s="4">
        <v>3249</v>
      </c>
      <c r="F57" s="4">
        <v>3839</v>
      </c>
      <c r="G57" s="5">
        <v>3859</v>
      </c>
      <c r="H57" s="4">
        <v>4090</v>
      </c>
      <c r="I57" s="4">
        <v>3359</v>
      </c>
      <c r="J57" s="4">
        <v>2983</v>
      </c>
      <c r="K57" s="5">
        <v>2760</v>
      </c>
      <c r="L57" s="4">
        <v>2959</v>
      </c>
      <c r="M57" s="4">
        <v>2692</v>
      </c>
      <c r="N57" s="4">
        <v>2483</v>
      </c>
      <c r="O57" s="5">
        <v>2744</v>
      </c>
      <c r="P57" s="4">
        <v>2943</v>
      </c>
      <c r="Q57" s="4">
        <v>2437</v>
      </c>
      <c r="R57" s="4">
        <v>2578</v>
      </c>
      <c r="S57" s="5">
        <v>2680</v>
      </c>
      <c r="T57" s="6">
        <v>2963</v>
      </c>
      <c r="U57" s="6"/>
      <c r="V57" s="6"/>
      <c r="W57" s="7"/>
    </row>
    <row r="58" spans="1:23" x14ac:dyDescent="0.35">
      <c r="A58" s="173" t="s">
        <v>21</v>
      </c>
      <c r="B58" s="171" t="s">
        <v>82</v>
      </c>
      <c r="C58" s="11" t="s">
        <v>58</v>
      </c>
      <c r="D58" s="6">
        <v>92</v>
      </c>
      <c r="E58" s="6">
        <v>6</v>
      </c>
      <c r="F58" s="6">
        <v>21</v>
      </c>
      <c r="G58" s="7">
        <v>123</v>
      </c>
      <c r="H58" s="6">
        <v>15</v>
      </c>
      <c r="I58" s="6">
        <v>6</v>
      </c>
      <c r="J58" s="6">
        <v>108</v>
      </c>
      <c r="K58" s="7">
        <v>214</v>
      </c>
      <c r="L58" s="6">
        <v>22</v>
      </c>
      <c r="M58" s="6">
        <v>49</v>
      </c>
      <c r="N58" s="6">
        <v>93</v>
      </c>
      <c r="O58" s="7">
        <v>129</v>
      </c>
      <c r="P58" s="6">
        <v>39</v>
      </c>
      <c r="Q58" s="6">
        <v>170</v>
      </c>
      <c r="R58" s="6">
        <v>15</v>
      </c>
      <c r="S58" s="7">
        <v>40</v>
      </c>
      <c r="T58" s="6">
        <v>49</v>
      </c>
      <c r="U58" s="6"/>
      <c r="V58" s="6"/>
      <c r="W58" s="7"/>
    </row>
    <row r="59" spans="1:23" x14ac:dyDescent="0.35">
      <c r="A59" s="173" t="s">
        <v>21</v>
      </c>
      <c r="B59" s="171" t="s">
        <v>82</v>
      </c>
      <c r="C59" s="12" t="s">
        <v>59</v>
      </c>
      <c r="D59" s="8">
        <v>6835</v>
      </c>
      <c r="E59" s="8">
        <v>6868</v>
      </c>
      <c r="F59" s="8">
        <v>7175</v>
      </c>
      <c r="G59" s="9">
        <v>6171</v>
      </c>
      <c r="H59" s="8">
        <v>4774</v>
      </c>
      <c r="I59" s="8">
        <v>4420</v>
      </c>
      <c r="J59" s="8">
        <v>5935</v>
      </c>
      <c r="K59" s="9">
        <v>5522</v>
      </c>
      <c r="L59" s="8">
        <v>4401</v>
      </c>
      <c r="M59" s="8">
        <v>6592</v>
      </c>
      <c r="N59" s="8">
        <v>4649</v>
      </c>
      <c r="O59" s="9">
        <v>5582</v>
      </c>
      <c r="P59" s="8">
        <v>4759</v>
      </c>
      <c r="Q59" s="8">
        <v>5140</v>
      </c>
      <c r="R59" s="8">
        <v>5852</v>
      </c>
      <c r="S59" s="9">
        <v>5293</v>
      </c>
      <c r="T59" s="6">
        <v>4320</v>
      </c>
      <c r="U59" s="6"/>
      <c r="V59" s="6"/>
      <c r="W59" s="7"/>
    </row>
    <row r="60" spans="1:23" x14ac:dyDescent="0.35">
      <c r="A60" s="169" t="s">
        <v>46</v>
      </c>
      <c r="B60" s="169"/>
      <c r="C60" s="80"/>
      <c r="D60" s="80"/>
      <c r="E60" s="80"/>
      <c r="F60" s="80"/>
      <c r="G60" s="80"/>
      <c r="H60" s="80"/>
      <c r="I60" s="80"/>
      <c r="J60" s="80"/>
      <c r="K60" s="80"/>
      <c r="L60" s="80"/>
      <c r="M60" s="80"/>
      <c r="N60" s="80"/>
      <c r="O60" s="80"/>
      <c r="P60" s="80"/>
      <c r="Q60" s="80"/>
      <c r="R60" s="80"/>
      <c r="S60" s="101"/>
      <c r="T60" s="168"/>
      <c r="U60" s="169"/>
      <c r="V60" s="169"/>
      <c r="W60" s="101"/>
    </row>
    <row r="61" spans="1:23" x14ac:dyDescent="0.35">
      <c r="A61" s="137" t="s">
        <v>22</v>
      </c>
      <c r="B61" s="59" t="s">
        <v>46</v>
      </c>
      <c r="C61" s="10" t="s">
        <v>57</v>
      </c>
      <c r="D61" s="4">
        <v>2250</v>
      </c>
      <c r="E61" s="4">
        <v>2977</v>
      </c>
      <c r="F61" s="4">
        <v>2245</v>
      </c>
      <c r="G61" s="5">
        <v>2038</v>
      </c>
      <c r="H61" s="4">
        <v>2449</v>
      </c>
      <c r="I61" s="4">
        <v>1983</v>
      </c>
      <c r="J61" s="4">
        <v>1766</v>
      </c>
      <c r="K61" s="5">
        <v>2059</v>
      </c>
      <c r="L61" s="4">
        <v>2046</v>
      </c>
      <c r="M61" s="4">
        <v>2183</v>
      </c>
      <c r="N61" s="4">
        <v>2174</v>
      </c>
      <c r="O61" s="5">
        <v>2370</v>
      </c>
      <c r="P61" s="4">
        <v>2410</v>
      </c>
      <c r="Q61" s="4">
        <v>2290</v>
      </c>
      <c r="R61" s="4">
        <v>2124</v>
      </c>
      <c r="S61" s="5">
        <v>2165</v>
      </c>
      <c r="T61" s="6">
        <v>2175</v>
      </c>
      <c r="U61" s="6"/>
      <c r="V61" s="6"/>
      <c r="W61" s="7"/>
    </row>
    <row r="62" spans="1:23" x14ac:dyDescent="0.35">
      <c r="A62" s="173" t="s">
        <v>22</v>
      </c>
      <c r="B62" s="171" t="s">
        <v>46</v>
      </c>
      <c r="C62" s="11" t="s">
        <v>58</v>
      </c>
      <c r="D62" s="6">
        <v>113.7</v>
      </c>
      <c r="E62" s="6">
        <v>127.6</v>
      </c>
      <c r="F62" s="6">
        <v>111</v>
      </c>
      <c r="G62" s="7">
        <v>145.1</v>
      </c>
      <c r="H62" s="6">
        <v>11.3</v>
      </c>
      <c r="I62" s="6">
        <v>107.9</v>
      </c>
      <c r="J62" s="6">
        <v>112.6</v>
      </c>
      <c r="K62" s="7">
        <v>123.8</v>
      </c>
      <c r="L62" s="6">
        <v>135.6</v>
      </c>
      <c r="M62" s="6">
        <v>136.30000000000001</v>
      </c>
      <c r="N62" s="6">
        <v>114.4</v>
      </c>
      <c r="O62" s="7">
        <v>148.19999999999999</v>
      </c>
      <c r="P62" s="6">
        <v>97.7</v>
      </c>
      <c r="Q62" s="6">
        <v>115.3</v>
      </c>
      <c r="R62" s="6">
        <v>134.5</v>
      </c>
      <c r="S62" s="7">
        <v>172.5</v>
      </c>
      <c r="T62" s="6">
        <v>89.4</v>
      </c>
      <c r="U62" s="6"/>
      <c r="V62" s="6"/>
      <c r="W62" s="7"/>
    </row>
    <row r="63" spans="1:23" x14ac:dyDescent="0.35">
      <c r="A63" s="173" t="s">
        <v>22</v>
      </c>
      <c r="B63" s="171" t="s">
        <v>46</v>
      </c>
      <c r="C63" s="12" t="s">
        <v>59</v>
      </c>
      <c r="D63" s="8">
        <v>1138.5999999999999</v>
      </c>
      <c r="E63" s="8">
        <v>-38.4</v>
      </c>
      <c r="F63" s="8"/>
      <c r="G63" s="9">
        <v>732.3</v>
      </c>
      <c r="H63" s="8">
        <v>2114.8000000000002</v>
      </c>
      <c r="I63" s="8">
        <v>-949.4</v>
      </c>
      <c r="J63" s="8">
        <v>2616</v>
      </c>
      <c r="K63" s="9">
        <v>123.8</v>
      </c>
      <c r="L63" s="8">
        <v>1850.1</v>
      </c>
      <c r="M63" s="8">
        <v>692.2</v>
      </c>
      <c r="N63" s="8">
        <v>2447.4</v>
      </c>
      <c r="O63" s="9">
        <v>215.5</v>
      </c>
      <c r="P63" s="8">
        <v>1291.0999999999999</v>
      </c>
      <c r="Q63" s="8">
        <v>823.4</v>
      </c>
      <c r="R63" s="8">
        <v>2226.1999999999998</v>
      </c>
      <c r="S63" s="9">
        <v>473.5</v>
      </c>
      <c r="T63" s="24">
        <v>1970.4</v>
      </c>
      <c r="U63" s="8"/>
      <c r="V63" s="8"/>
      <c r="W63" s="9"/>
    </row>
    <row r="64" spans="1:23" x14ac:dyDescent="0.35">
      <c r="A64" s="137" t="s">
        <v>23</v>
      </c>
      <c r="B64" s="59" t="s">
        <v>83</v>
      </c>
      <c r="C64" s="11" t="s">
        <v>57</v>
      </c>
      <c r="D64" s="6">
        <v>4476</v>
      </c>
      <c r="E64" s="6">
        <v>5032</v>
      </c>
      <c r="F64" s="6">
        <v>5304</v>
      </c>
      <c r="G64" s="7">
        <v>4905.5</v>
      </c>
      <c r="H64" s="6">
        <v>4346</v>
      </c>
      <c r="I64" s="6">
        <v>3917</v>
      </c>
      <c r="J64" s="6">
        <v>4140.8999999999996</v>
      </c>
      <c r="K64" s="7">
        <v>4529.2550000000001</v>
      </c>
      <c r="L64" s="6">
        <v>4229.6639999999998</v>
      </c>
      <c r="M64" s="6">
        <v>4232.3059999999996</v>
      </c>
      <c r="N64" s="6">
        <v>4268</v>
      </c>
      <c r="O64" s="7">
        <v>4021</v>
      </c>
      <c r="P64" s="6">
        <v>3892</v>
      </c>
      <c r="Q64" s="6">
        <v>3651.547</v>
      </c>
      <c r="R64" s="6">
        <v>3810.402</v>
      </c>
      <c r="S64" s="7">
        <v>3772</v>
      </c>
      <c r="T64" s="6">
        <v>3470</v>
      </c>
      <c r="U64" s="6"/>
      <c r="V64" s="6"/>
      <c r="W64" s="7"/>
    </row>
    <row r="65" spans="1:23" x14ac:dyDescent="0.35">
      <c r="A65" s="184" t="s">
        <v>23</v>
      </c>
      <c r="B65" s="174" t="s">
        <v>83</v>
      </c>
      <c r="C65" s="12" t="s">
        <v>59</v>
      </c>
      <c r="D65" s="8">
        <v>-884</v>
      </c>
      <c r="E65" s="8">
        <v>-45</v>
      </c>
      <c r="F65" s="8">
        <v>-607.29499999999996</v>
      </c>
      <c r="G65" s="9">
        <v>477.72800000000001</v>
      </c>
      <c r="H65" s="8">
        <v>-124.833</v>
      </c>
      <c r="I65" s="8">
        <v>-273.42599999999999</v>
      </c>
      <c r="J65" s="8">
        <v>-883.99</v>
      </c>
      <c r="K65" s="9">
        <v>-223.28</v>
      </c>
      <c r="L65" s="8">
        <v>-121.82899999999999</v>
      </c>
      <c r="M65" s="8">
        <v>-81.86</v>
      </c>
      <c r="N65" s="8">
        <v>-218.5</v>
      </c>
      <c r="O65" s="9">
        <v>-546</v>
      </c>
      <c r="P65" s="8">
        <v>-1217</v>
      </c>
      <c r="Q65" s="8">
        <v>-177.65299999999999</v>
      </c>
      <c r="R65" s="8">
        <v>-140.65700000000001</v>
      </c>
      <c r="S65" s="9">
        <v>-408</v>
      </c>
      <c r="T65" s="6"/>
      <c r="U65" s="6"/>
      <c r="V65" s="6"/>
      <c r="W65" s="7"/>
    </row>
    <row r="66" spans="1:23" x14ac:dyDescent="0.35">
      <c r="A66" s="173" t="s">
        <v>159</v>
      </c>
      <c r="B66" s="171" t="s">
        <v>160</v>
      </c>
      <c r="C66" s="10" t="s">
        <v>57</v>
      </c>
      <c r="D66" s="25">
        <v>73.5</v>
      </c>
      <c r="E66" s="25">
        <v>77.8</v>
      </c>
      <c r="F66">
        <v>71.3</v>
      </c>
      <c r="G66" s="5">
        <v>68.400000000000006</v>
      </c>
      <c r="H66" s="25">
        <v>71.099999999999994</v>
      </c>
      <c r="I66" s="25">
        <v>73.3</v>
      </c>
      <c r="J66" s="25">
        <v>66.7</v>
      </c>
      <c r="K66" s="25">
        <v>79.400000000000006</v>
      </c>
      <c r="L66" s="88">
        <v>70.599999999999994</v>
      </c>
      <c r="M66" s="25">
        <v>78.3</v>
      </c>
      <c r="N66" s="25">
        <v>84.8</v>
      </c>
      <c r="O66" s="7">
        <v>77.7</v>
      </c>
      <c r="P66" s="25">
        <v>69.099999999999994</v>
      </c>
      <c r="Q66" s="25">
        <v>85.4</v>
      </c>
      <c r="R66" s="25">
        <v>71.400000000000006</v>
      </c>
      <c r="S66" s="7">
        <v>104.5</v>
      </c>
      <c r="T66" s="87">
        <v>78.400000000000006</v>
      </c>
      <c r="U66" s="4"/>
      <c r="V66" s="4"/>
      <c r="W66" s="5"/>
    </row>
    <row r="67" spans="1:23" x14ac:dyDescent="0.35">
      <c r="A67" s="173" t="s">
        <v>159</v>
      </c>
      <c r="B67" s="171" t="s">
        <v>160</v>
      </c>
      <c r="C67" s="11" t="s">
        <v>58</v>
      </c>
      <c r="D67" s="25">
        <v>2.7</v>
      </c>
      <c r="E67" s="25">
        <v>3</v>
      </c>
      <c r="F67">
        <v>6</v>
      </c>
      <c r="G67" s="7">
        <v>7.9</v>
      </c>
      <c r="H67" s="25">
        <v>6.3</v>
      </c>
      <c r="I67" s="25">
        <v>3</v>
      </c>
      <c r="J67" s="25">
        <v>8.4</v>
      </c>
      <c r="K67" s="25">
        <v>9.5</v>
      </c>
      <c r="L67" s="88">
        <v>4.2</v>
      </c>
      <c r="M67" s="25">
        <v>2.1</v>
      </c>
      <c r="N67" s="25">
        <v>2.9</v>
      </c>
      <c r="O67" s="7">
        <v>6.5</v>
      </c>
      <c r="P67" s="25">
        <v>1.5</v>
      </c>
      <c r="Q67" s="25">
        <v>25.3</v>
      </c>
      <c r="R67" s="25">
        <v>6.2</v>
      </c>
      <c r="S67" s="7">
        <v>44.6</v>
      </c>
      <c r="T67" s="25">
        <v>16.399999999999999</v>
      </c>
      <c r="U67" s="25"/>
      <c r="V67" s="6"/>
      <c r="W67" s="7"/>
    </row>
    <row r="68" spans="1:23" x14ac:dyDescent="0.35">
      <c r="A68" s="173" t="s">
        <v>159</v>
      </c>
      <c r="B68" s="171" t="s">
        <v>160</v>
      </c>
      <c r="C68" s="12" t="s">
        <v>59</v>
      </c>
      <c r="D68" s="8">
        <v>108.8</v>
      </c>
      <c r="E68" s="8">
        <v>98.7</v>
      </c>
      <c r="F68" s="84">
        <v>106.3</v>
      </c>
      <c r="G68" s="9">
        <v>79</v>
      </c>
      <c r="H68" s="8">
        <v>86.2</v>
      </c>
      <c r="I68" s="8">
        <v>95.8</v>
      </c>
      <c r="J68" s="8">
        <v>110.9</v>
      </c>
      <c r="K68" s="8">
        <v>85.5</v>
      </c>
      <c r="L68" s="24">
        <v>91.1</v>
      </c>
      <c r="M68" s="8">
        <v>102.4</v>
      </c>
      <c r="N68" s="8">
        <v>103.8</v>
      </c>
      <c r="O68" s="9">
        <v>104.8</v>
      </c>
      <c r="P68" s="8">
        <v>101.2</v>
      </c>
      <c r="Q68" s="8">
        <v>115</v>
      </c>
      <c r="R68" s="8">
        <v>119.6</v>
      </c>
      <c r="S68" s="9">
        <v>148.6</v>
      </c>
      <c r="T68" s="8">
        <v>177.3</v>
      </c>
      <c r="U68" s="6"/>
      <c r="V68" s="6"/>
      <c r="W68" s="7"/>
    </row>
    <row r="69" spans="1:23" x14ac:dyDescent="0.35">
      <c r="A69" s="169" t="s">
        <v>47</v>
      </c>
      <c r="B69" s="169"/>
      <c r="C69" s="185"/>
      <c r="D69" s="80"/>
      <c r="E69" s="80"/>
      <c r="F69" s="80"/>
      <c r="G69" s="80"/>
      <c r="H69" s="80"/>
      <c r="I69" s="80"/>
      <c r="J69" s="80"/>
      <c r="K69" s="80"/>
      <c r="L69" s="80"/>
      <c r="M69" s="80"/>
      <c r="N69" s="80"/>
      <c r="O69" s="80"/>
      <c r="P69" s="80"/>
      <c r="Q69" s="80"/>
      <c r="R69" s="80"/>
      <c r="S69" s="182"/>
      <c r="T69" s="186"/>
      <c r="U69" s="169"/>
      <c r="V69" s="169"/>
      <c r="W69" s="101"/>
    </row>
    <row r="70" spans="1:23" x14ac:dyDescent="0.35">
      <c r="A70" s="137" t="s">
        <v>24</v>
      </c>
      <c r="B70" s="59" t="s">
        <v>84</v>
      </c>
      <c r="C70" s="10" t="s">
        <v>57</v>
      </c>
      <c r="D70" s="4">
        <v>598</v>
      </c>
      <c r="E70" s="4">
        <v>670</v>
      </c>
      <c r="F70" s="4">
        <v>625</v>
      </c>
      <c r="G70" s="5">
        <v>899</v>
      </c>
      <c r="H70" s="4">
        <v>600</v>
      </c>
      <c r="I70" s="4">
        <v>723</v>
      </c>
      <c r="J70" s="4">
        <v>737</v>
      </c>
      <c r="K70" s="5">
        <v>1063</v>
      </c>
      <c r="L70" s="4">
        <v>689</v>
      </c>
      <c r="M70" s="4">
        <v>686</v>
      </c>
      <c r="N70" s="4">
        <v>765</v>
      </c>
      <c r="O70" s="5">
        <v>977</v>
      </c>
      <c r="P70" s="4">
        <v>579</v>
      </c>
      <c r="Q70" s="4">
        <v>755</v>
      </c>
      <c r="R70" s="4">
        <v>709</v>
      </c>
      <c r="S70" s="5">
        <v>1012</v>
      </c>
      <c r="T70" s="6">
        <v>599</v>
      </c>
      <c r="U70" s="6"/>
      <c r="V70" s="6"/>
      <c r="W70" s="7"/>
    </row>
    <row r="71" spans="1:23" x14ac:dyDescent="0.35">
      <c r="A71" s="173" t="s">
        <v>24</v>
      </c>
      <c r="B71" s="171" t="s">
        <v>84</v>
      </c>
      <c r="C71" s="11" t="s">
        <v>58</v>
      </c>
      <c r="D71" s="6">
        <v>15</v>
      </c>
      <c r="E71" s="6">
        <v>20</v>
      </c>
      <c r="F71" s="6">
        <v>11</v>
      </c>
      <c r="G71" s="7">
        <v>13</v>
      </c>
      <c r="H71" s="6">
        <v>26</v>
      </c>
      <c r="I71" s="6">
        <v>13</v>
      </c>
      <c r="J71" s="6">
        <v>13</v>
      </c>
      <c r="K71" s="7">
        <v>37</v>
      </c>
      <c r="L71" s="6">
        <v>15</v>
      </c>
      <c r="M71" s="6">
        <v>32</v>
      </c>
      <c r="N71" s="6">
        <v>22</v>
      </c>
      <c r="O71" s="7">
        <v>21</v>
      </c>
      <c r="P71" s="6">
        <v>16</v>
      </c>
      <c r="Q71" s="6">
        <v>65</v>
      </c>
      <c r="R71" s="6">
        <v>22</v>
      </c>
      <c r="S71" s="7">
        <v>22</v>
      </c>
      <c r="T71" s="6">
        <v>16</v>
      </c>
      <c r="U71" s="6"/>
      <c r="V71" s="6"/>
      <c r="W71" s="7"/>
    </row>
    <row r="72" spans="1:23" x14ac:dyDescent="0.35">
      <c r="A72" s="173" t="s">
        <v>24</v>
      </c>
      <c r="B72" s="171" t="s">
        <v>84</v>
      </c>
      <c r="C72" s="12" t="s">
        <v>59</v>
      </c>
      <c r="D72" s="8">
        <v>170</v>
      </c>
      <c r="E72" s="8">
        <v>277</v>
      </c>
      <c r="F72" s="8">
        <v>361</v>
      </c>
      <c r="G72" s="9">
        <v>386</v>
      </c>
      <c r="H72" s="8">
        <v>311</v>
      </c>
      <c r="I72" s="8">
        <v>318</v>
      </c>
      <c r="J72" s="8">
        <v>286</v>
      </c>
      <c r="K72" s="9">
        <v>103</v>
      </c>
      <c r="L72" s="8">
        <v>-155</v>
      </c>
      <c r="M72" s="8">
        <v>-108</v>
      </c>
      <c r="N72" s="8">
        <v>-108</v>
      </c>
      <c r="O72" s="9">
        <v>-234</v>
      </c>
      <c r="P72" s="8">
        <v>-366</v>
      </c>
      <c r="Q72" s="8">
        <v>-169</v>
      </c>
      <c r="R72" s="8">
        <v>-132</v>
      </c>
      <c r="S72" s="9">
        <v>-446</v>
      </c>
      <c r="T72" s="6">
        <v>-371</v>
      </c>
      <c r="U72" s="6"/>
      <c r="V72" s="6"/>
      <c r="W72" s="7"/>
    </row>
    <row r="73" spans="1:23" x14ac:dyDescent="0.35">
      <c r="A73" s="169" t="s">
        <v>48</v>
      </c>
      <c r="B73" s="169"/>
      <c r="C73" s="80"/>
      <c r="D73" s="80"/>
      <c r="E73" s="80"/>
      <c r="F73" s="80"/>
      <c r="G73" s="80"/>
      <c r="H73" s="80"/>
      <c r="I73" s="80"/>
      <c r="J73" s="80"/>
      <c r="K73" s="80"/>
      <c r="L73" s="80"/>
      <c r="M73" s="80"/>
      <c r="N73" s="80"/>
      <c r="O73" s="80"/>
      <c r="P73" s="80"/>
      <c r="Q73" s="80"/>
      <c r="R73" s="80"/>
      <c r="S73" s="101"/>
      <c r="T73" s="168"/>
      <c r="U73" s="169"/>
      <c r="V73" s="169"/>
      <c r="W73" s="101"/>
    </row>
    <row r="74" spans="1:23" x14ac:dyDescent="0.35">
      <c r="A74" s="137" t="s">
        <v>25</v>
      </c>
      <c r="B74" s="59" t="s">
        <v>85</v>
      </c>
      <c r="C74" s="10" t="s">
        <v>57</v>
      </c>
      <c r="D74" s="4">
        <v>150</v>
      </c>
      <c r="E74" s="4">
        <v>276</v>
      </c>
      <c r="F74" s="4">
        <v>296</v>
      </c>
      <c r="G74" s="5">
        <v>314</v>
      </c>
      <c r="H74" s="4">
        <v>273</v>
      </c>
      <c r="I74" s="4">
        <v>320</v>
      </c>
      <c r="J74" s="37">
        <v>286</v>
      </c>
      <c r="K74" s="5">
        <v>295</v>
      </c>
      <c r="L74" s="4">
        <v>253</v>
      </c>
      <c r="M74" s="4">
        <v>344</v>
      </c>
      <c r="N74" s="4">
        <v>318</v>
      </c>
      <c r="O74" s="5">
        <v>349</v>
      </c>
      <c r="P74" s="4">
        <v>278</v>
      </c>
      <c r="Q74" s="4">
        <v>375</v>
      </c>
      <c r="R74" s="4">
        <v>334</v>
      </c>
      <c r="S74" s="5">
        <v>486</v>
      </c>
      <c r="T74" s="6">
        <v>398</v>
      </c>
      <c r="U74" s="6"/>
      <c r="V74" s="6"/>
      <c r="W74" s="7"/>
    </row>
    <row r="75" spans="1:23" x14ac:dyDescent="0.35">
      <c r="A75" s="173" t="s">
        <v>25</v>
      </c>
      <c r="B75" s="171" t="s">
        <v>85</v>
      </c>
      <c r="C75" s="11" t="s">
        <v>58</v>
      </c>
      <c r="D75" s="6">
        <v>20</v>
      </c>
      <c r="E75" s="6">
        <v>19</v>
      </c>
      <c r="F75" s="6">
        <v>10</v>
      </c>
      <c r="G75" s="7">
        <v>44</v>
      </c>
      <c r="H75" s="6">
        <v>22</v>
      </c>
      <c r="I75" s="6">
        <v>47</v>
      </c>
      <c r="J75" s="23">
        <v>33</v>
      </c>
      <c r="K75" s="7">
        <v>66</v>
      </c>
      <c r="L75" s="6">
        <v>31</v>
      </c>
      <c r="M75" s="6">
        <v>24</v>
      </c>
      <c r="N75" s="6">
        <v>29</v>
      </c>
      <c r="O75" s="7">
        <v>50</v>
      </c>
      <c r="P75" s="6">
        <v>35</v>
      </c>
      <c r="Q75" s="6">
        <v>223</v>
      </c>
      <c r="R75" s="6">
        <v>47</v>
      </c>
      <c r="S75" s="7">
        <v>625</v>
      </c>
      <c r="T75" s="6">
        <v>30</v>
      </c>
      <c r="U75" s="6"/>
      <c r="V75" s="6"/>
      <c r="W75" s="7"/>
    </row>
    <row r="76" spans="1:23" x14ac:dyDescent="0.35">
      <c r="A76" s="173" t="s">
        <v>25</v>
      </c>
      <c r="B76" s="171" t="s">
        <v>85</v>
      </c>
      <c r="C76" s="12" t="s">
        <v>59</v>
      </c>
      <c r="D76" s="8">
        <v>1825</v>
      </c>
      <c r="E76" s="8">
        <v>1720</v>
      </c>
      <c r="F76" s="8">
        <v>1580</v>
      </c>
      <c r="G76" s="9">
        <v>1443</v>
      </c>
      <c r="H76" s="8">
        <v>1422</v>
      </c>
      <c r="I76" s="8">
        <v>1447</v>
      </c>
      <c r="J76" s="36">
        <v>1413</v>
      </c>
      <c r="K76" s="9">
        <v>1328</v>
      </c>
      <c r="L76" s="8">
        <v>1335</v>
      </c>
      <c r="M76" s="8">
        <v>1178</v>
      </c>
      <c r="N76" s="8">
        <v>1158</v>
      </c>
      <c r="O76" s="9">
        <v>1086</v>
      </c>
      <c r="P76" s="8">
        <v>1109</v>
      </c>
      <c r="Q76" s="8">
        <v>1184</v>
      </c>
      <c r="R76" s="8">
        <v>1285</v>
      </c>
      <c r="S76" s="9">
        <v>1968</v>
      </c>
      <c r="T76" s="6">
        <v>1444</v>
      </c>
      <c r="U76" s="6"/>
      <c r="V76" s="6"/>
      <c r="W76" s="7"/>
    </row>
    <row r="77" spans="1:23" x14ac:dyDescent="0.35">
      <c r="A77" s="169" t="s">
        <v>49</v>
      </c>
      <c r="B77" s="169"/>
      <c r="C77" s="80"/>
      <c r="D77" s="80"/>
      <c r="E77" s="80"/>
      <c r="F77" s="80"/>
      <c r="G77" s="80"/>
      <c r="H77" s="80"/>
      <c r="I77" s="80"/>
      <c r="J77" s="80"/>
      <c r="K77" s="80"/>
      <c r="L77" s="80"/>
      <c r="M77" s="80"/>
      <c r="N77" s="80"/>
      <c r="O77" s="80"/>
      <c r="P77" s="80"/>
      <c r="Q77" s="80"/>
      <c r="R77" s="80"/>
      <c r="S77" s="101"/>
      <c r="T77" s="168"/>
      <c r="U77" s="169"/>
      <c r="V77" s="169"/>
      <c r="W77" s="101"/>
    </row>
    <row r="78" spans="1:23" x14ac:dyDescent="0.35">
      <c r="A78" s="137" t="s">
        <v>26</v>
      </c>
      <c r="B78" s="59" t="s">
        <v>86</v>
      </c>
      <c r="C78" s="10" t="s">
        <v>57</v>
      </c>
      <c r="D78" s="28"/>
      <c r="E78" s="28"/>
      <c r="F78" s="28"/>
      <c r="G78" s="29"/>
      <c r="H78" s="28"/>
      <c r="I78" s="28"/>
      <c r="J78" s="28"/>
      <c r="K78" s="5">
        <v>577</v>
      </c>
      <c r="L78" s="37">
        <v>539</v>
      </c>
      <c r="M78" s="37">
        <v>577</v>
      </c>
      <c r="N78" s="37">
        <v>558</v>
      </c>
      <c r="O78" s="5">
        <v>653</v>
      </c>
      <c r="P78" s="4">
        <v>541</v>
      </c>
      <c r="Q78" s="4">
        <v>579</v>
      </c>
      <c r="R78" s="4">
        <v>591</v>
      </c>
      <c r="S78" s="5">
        <v>776</v>
      </c>
      <c r="T78" s="6">
        <v>710</v>
      </c>
      <c r="U78" s="6"/>
      <c r="V78" s="6"/>
      <c r="W78" s="7"/>
    </row>
    <row r="79" spans="1:23" x14ac:dyDescent="0.35">
      <c r="A79" s="173" t="s">
        <v>26</v>
      </c>
      <c r="B79" s="171" t="s">
        <v>86</v>
      </c>
      <c r="C79" s="11" t="s">
        <v>58</v>
      </c>
      <c r="D79" s="38"/>
      <c r="E79" s="38"/>
      <c r="F79" s="38"/>
      <c r="G79" s="32"/>
      <c r="H79" s="38"/>
      <c r="I79" s="38"/>
      <c r="J79" s="38"/>
      <c r="K79" s="7">
        <v>24</v>
      </c>
      <c r="L79" s="39">
        <v>10</v>
      </c>
      <c r="M79" s="39">
        <v>58</v>
      </c>
      <c r="N79" s="39">
        <v>18</v>
      </c>
      <c r="O79" s="7">
        <v>22</v>
      </c>
      <c r="P79" s="6">
        <v>20</v>
      </c>
      <c r="Q79" s="6">
        <v>2</v>
      </c>
      <c r="R79" s="6">
        <v>78</v>
      </c>
      <c r="S79" s="7">
        <v>875</v>
      </c>
      <c r="T79" s="6">
        <v>56</v>
      </c>
      <c r="U79" s="6"/>
      <c r="V79" s="6"/>
      <c r="W79" s="7"/>
    </row>
    <row r="80" spans="1:23" x14ac:dyDescent="0.35">
      <c r="A80" s="173" t="s">
        <v>26</v>
      </c>
      <c r="B80" s="171" t="s">
        <v>86</v>
      </c>
      <c r="C80" s="12" t="s">
        <v>59</v>
      </c>
      <c r="D80" s="34"/>
      <c r="E80" s="34"/>
      <c r="F80" s="34"/>
      <c r="G80" s="35"/>
      <c r="H80" s="34"/>
      <c r="I80" s="34"/>
      <c r="J80" s="34"/>
      <c r="K80" s="9">
        <v>568</v>
      </c>
      <c r="L80" s="34"/>
      <c r="M80" s="34"/>
      <c r="N80" s="34"/>
      <c r="O80" s="35"/>
      <c r="P80" s="8">
        <v>-15</v>
      </c>
      <c r="Q80" s="8">
        <v>-26</v>
      </c>
      <c r="R80" s="8">
        <v>91</v>
      </c>
      <c r="S80" s="9">
        <v>949</v>
      </c>
      <c r="T80" s="6">
        <v>935</v>
      </c>
      <c r="U80" s="6"/>
      <c r="V80" s="6"/>
      <c r="W80" s="7"/>
    </row>
    <row r="81" spans="1:23" x14ac:dyDescent="0.35">
      <c r="A81" s="169" t="s">
        <v>50</v>
      </c>
      <c r="B81" s="169"/>
      <c r="C81" s="80"/>
      <c r="D81" s="80"/>
      <c r="E81" s="80"/>
      <c r="F81" s="80"/>
      <c r="G81" s="80"/>
      <c r="H81" s="80"/>
      <c r="I81" s="80"/>
      <c r="J81" s="80"/>
      <c r="K81" s="80"/>
      <c r="L81" s="80"/>
      <c r="M81" s="80"/>
      <c r="N81" s="80"/>
      <c r="O81" s="80"/>
      <c r="P81" s="80"/>
      <c r="Q81" s="80"/>
      <c r="R81" s="80"/>
      <c r="S81" s="101"/>
      <c r="T81" s="168"/>
      <c r="U81" s="169"/>
      <c r="V81" s="169"/>
      <c r="W81" s="101"/>
    </row>
    <row r="82" spans="1:23" x14ac:dyDescent="0.35">
      <c r="A82" s="137" t="s">
        <v>27</v>
      </c>
      <c r="B82" s="59" t="s">
        <v>87</v>
      </c>
      <c r="C82" s="10" t="s">
        <v>57</v>
      </c>
      <c r="D82" s="4">
        <v>962</v>
      </c>
      <c r="E82" s="4">
        <v>1031</v>
      </c>
      <c r="F82" s="4">
        <v>971</v>
      </c>
      <c r="G82" s="5">
        <v>984</v>
      </c>
      <c r="H82" s="4">
        <v>1004</v>
      </c>
      <c r="I82" s="4">
        <v>1115</v>
      </c>
      <c r="J82" s="4">
        <v>1112</v>
      </c>
      <c r="K82" s="5">
        <v>1090</v>
      </c>
      <c r="L82" s="4">
        <v>1140</v>
      </c>
      <c r="M82" s="4">
        <v>1342</v>
      </c>
      <c r="N82" s="4">
        <v>1235</v>
      </c>
      <c r="O82" s="5">
        <v>1291</v>
      </c>
      <c r="P82" s="4">
        <v>1280</v>
      </c>
      <c r="Q82" s="4">
        <v>1586</v>
      </c>
      <c r="R82" s="4">
        <v>1463</v>
      </c>
      <c r="S82" s="5">
        <v>1480</v>
      </c>
      <c r="T82" s="6">
        <v>1435</v>
      </c>
      <c r="U82" s="6"/>
      <c r="V82" s="6"/>
      <c r="W82" s="7"/>
    </row>
    <row r="83" spans="1:23" x14ac:dyDescent="0.35">
      <c r="A83" s="173" t="s">
        <v>27</v>
      </c>
      <c r="B83" s="171" t="s">
        <v>87</v>
      </c>
      <c r="C83" s="11" t="s">
        <v>58</v>
      </c>
      <c r="D83" s="6">
        <v>15</v>
      </c>
      <c r="E83" s="6">
        <v>141</v>
      </c>
      <c r="F83" s="6">
        <v>42</v>
      </c>
      <c r="G83" s="7">
        <v>279</v>
      </c>
      <c r="H83" s="6">
        <v>16</v>
      </c>
      <c r="I83" s="6">
        <v>122</v>
      </c>
      <c r="J83" s="6">
        <v>65</v>
      </c>
      <c r="K83" s="7">
        <v>327</v>
      </c>
      <c r="L83" s="6">
        <v>68</v>
      </c>
      <c r="M83" s="6">
        <v>96</v>
      </c>
      <c r="N83" s="6">
        <v>228</v>
      </c>
      <c r="O83" s="7">
        <v>323</v>
      </c>
      <c r="P83" s="6">
        <v>890</v>
      </c>
      <c r="Q83" s="6">
        <v>403</v>
      </c>
      <c r="R83" s="6">
        <v>490</v>
      </c>
      <c r="S83" s="7">
        <v>632</v>
      </c>
      <c r="T83" s="6">
        <v>2489</v>
      </c>
      <c r="U83" s="6"/>
      <c r="V83" s="6"/>
      <c r="W83" s="7"/>
    </row>
    <row r="84" spans="1:23" x14ac:dyDescent="0.35">
      <c r="A84" s="173" t="s">
        <v>27</v>
      </c>
      <c r="B84" s="171" t="s">
        <v>87</v>
      </c>
      <c r="C84" s="12" t="s">
        <v>59</v>
      </c>
      <c r="D84" s="8">
        <v>729</v>
      </c>
      <c r="E84" s="8">
        <v>954</v>
      </c>
      <c r="F84" s="8">
        <v>631</v>
      </c>
      <c r="G84" s="9">
        <v>342</v>
      </c>
      <c r="H84" s="8">
        <v>263</v>
      </c>
      <c r="I84" s="8">
        <v>105</v>
      </c>
      <c r="J84" s="8">
        <v>500</v>
      </c>
      <c r="K84" s="9">
        <v>24</v>
      </c>
      <c r="L84" s="8">
        <v>-139</v>
      </c>
      <c r="M84" s="8">
        <v>-647</v>
      </c>
      <c r="N84" s="8">
        <v>-390</v>
      </c>
      <c r="O84" s="9">
        <v>-792</v>
      </c>
      <c r="P84" s="8">
        <v>-436</v>
      </c>
      <c r="Q84" s="8">
        <v>-492</v>
      </c>
      <c r="R84" s="8">
        <v>-470</v>
      </c>
      <c r="S84" s="9">
        <v>-753</v>
      </c>
      <c r="T84" s="6">
        <v>-945</v>
      </c>
      <c r="U84" s="6"/>
      <c r="V84" s="6"/>
      <c r="W84" s="7"/>
    </row>
    <row r="85" spans="1:23" x14ac:dyDescent="0.35">
      <c r="A85" s="169" t="s">
        <v>51</v>
      </c>
      <c r="B85" s="169"/>
      <c r="C85" s="80"/>
      <c r="D85" s="80"/>
      <c r="E85" s="80"/>
      <c r="F85" s="80"/>
      <c r="G85" s="80"/>
      <c r="H85" s="80"/>
      <c r="I85" s="80"/>
      <c r="J85" s="80"/>
      <c r="K85" s="80"/>
      <c r="L85" s="80"/>
      <c r="M85" s="80"/>
      <c r="N85" s="80"/>
      <c r="O85" s="80"/>
      <c r="P85" s="80"/>
      <c r="Q85" s="80"/>
      <c r="R85" s="80"/>
      <c r="S85" s="101"/>
      <c r="T85" s="168"/>
      <c r="U85" s="169"/>
      <c r="V85" s="169"/>
      <c r="W85" s="101"/>
    </row>
    <row r="86" spans="1:23" x14ac:dyDescent="0.35">
      <c r="A86" s="137" t="s">
        <v>28</v>
      </c>
      <c r="B86" s="59" t="s">
        <v>28</v>
      </c>
      <c r="C86" s="10" t="s">
        <v>57</v>
      </c>
      <c r="D86" s="4">
        <v>221</v>
      </c>
      <c r="E86" s="4">
        <v>259</v>
      </c>
      <c r="F86" s="4">
        <v>253</v>
      </c>
      <c r="G86" s="5">
        <v>271</v>
      </c>
      <c r="H86" s="4">
        <v>265</v>
      </c>
      <c r="I86" s="4">
        <v>296</v>
      </c>
      <c r="J86" s="4">
        <v>278</v>
      </c>
      <c r="K86" s="5">
        <v>336</v>
      </c>
      <c r="L86" s="4">
        <v>288</v>
      </c>
      <c r="M86" s="4">
        <v>282.7</v>
      </c>
      <c r="N86" s="4">
        <v>295</v>
      </c>
      <c r="O86" s="5">
        <v>383</v>
      </c>
      <c r="P86" s="4">
        <v>309</v>
      </c>
      <c r="Q86" s="4">
        <v>354</v>
      </c>
      <c r="R86" s="4">
        <v>358</v>
      </c>
      <c r="S86" s="5">
        <v>517</v>
      </c>
      <c r="T86" s="6">
        <v>342</v>
      </c>
      <c r="U86" s="6"/>
      <c r="V86" s="6"/>
      <c r="W86" s="7"/>
    </row>
    <row r="87" spans="1:23" x14ac:dyDescent="0.35">
      <c r="A87" s="173" t="s">
        <v>28</v>
      </c>
      <c r="B87" s="171" t="s">
        <v>28</v>
      </c>
      <c r="C87" s="12" t="s">
        <v>59</v>
      </c>
      <c r="D87" s="8">
        <v>171</v>
      </c>
      <c r="E87" s="8">
        <v>165</v>
      </c>
      <c r="F87" s="8">
        <v>155</v>
      </c>
      <c r="G87" s="9">
        <v>159</v>
      </c>
      <c r="H87" s="8">
        <v>104</v>
      </c>
      <c r="I87" s="8">
        <v>123.7</v>
      </c>
      <c r="J87" s="8">
        <v>92</v>
      </c>
      <c r="K87" s="9">
        <v>87</v>
      </c>
      <c r="L87" s="8">
        <v>102</v>
      </c>
      <c r="M87" s="8">
        <v>108.8</v>
      </c>
      <c r="N87" s="8">
        <v>455</v>
      </c>
      <c r="O87" s="9">
        <v>551</v>
      </c>
      <c r="P87" s="8">
        <v>541.5</v>
      </c>
      <c r="Q87" s="8">
        <v>533</v>
      </c>
      <c r="R87" s="8">
        <v>465</v>
      </c>
      <c r="S87" s="9">
        <v>423</v>
      </c>
      <c r="T87" s="6">
        <v>417</v>
      </c>
      <c r="U87" s="6"/>
      <c r="V87" s="6"/>
      <c r="W87" s="7"/>
    </row>
    <row r="88" spans="1:23" x14ac:dyDescent="0.35">
      <c r="A88" s="169" t="s">
        <v>52</v>
      </c>
      <c r="B88" s="169"/>
      <c r="C88" s="80"/>
      <c r="D88" s="80"/>
      <c r="E88" s="80"/>
      <c r="F88" s="80"/>
      <c r="G88" s="80"/>
      <c r="H88" s="80"/>
      <c r="I88" s="80"/>
      <c r="J88" s="80"/>
      <c r="K88" s="80"/>
      <c r="L88" s="80"/>
      <c r="M88" s="80"/>
      <c r="N88" s="80"/>
      <c r="O88" s="80"/>
      <c r="P88" s="80"/>
      <c r="Q88" s="80"/>
      <c r="R88" s="80"/>
      <c r="S88" s="101"/>
      <c r="T88" s="168"/>
      <c r="U88" s="169"/>
      <c r="V88" s="169"/>
      <c r="W88" s="101"/>
    </row>
    <row r="89" spans="1:23" x14ac:dyDescent="0.35">
      <c r="A89" s="137" t="s">
        <v>29</v>
      </c>
      <c r="B89" s="59" t="s">
        <v>88</v>
      </c>
      <c r="C89" s="10" t="s">
        <v>57</v>
      </c>
      <c r="D89" s="4">
        <v>2791</v>
      </c>
      <c r="E89" s="4">
        <v>2675</v>
      </c>
      <c r="F89" s="4">
        <v>1910</v>
      </c>
      <c r="G89" s="5">
        <v>2269</v>
      </c>
      <c r="H89" s="4">
        <v>2220</v>
      </c>
      <c r="I89" s="4">
        <v>1962</v>
      </c>
      <c r="J89" s="4">
        <v>1757</v>
      </c>
      <c r="K89" s="5">
        <v>1569</v>
      </c>
      <c r="L89" s="4">
        <v>1935</v>
      </c>
      <c r="M89" s="4">
        <v>2473</v>
      </c>
      <c r="N89" s="4">
        <v>2127</v>
      </c>
      <c r="O89" s="5">
        <v>2325</v>
      </c>
      <c r="P89" s="4">
        <v>2324</v>
      </c>
      <c r="Q89" s="4">
        <v>2098</v>
      </c>
      <c r="R89" s="4">
        <v>2998</v>
      </c>
      <c r="S89" s="5">
        <v>6274</v>
      </c>
      <c r="T89" s="6">
        <v>5753</v>
      </c>
      <c r="U89" s="6"/>
      <c r="V89" s="6"/>
      <c r="W89" s="7"/>
    </row>
    <row r="90" spans="1:23" x14ac:dyDescent="0.35">
      <c r="A90" s="177" t="s">
        <v>29</v>
      </c>
      <c r="B90" s="176" t="s">
        <v>88</v>
      </c>
      <c r="C90" s="14" t="s">
        <v>58</v>
      </c>
      <c r="D90" s="6">
        <v>385</v>
      </c>
      <c r="E90" s="6">
        <v>571</v>
      </c>
      <c r="F90" s="6">
        <v>474</v>
      </c>
      <c r="G90" s="7">
        <v>744</v>
      </c>
      <c r="H90" s="6">
        <v>494</v>
      </c>
      <c r="I90" s="6">
        <v>668</v>
      </c>
      <c r="J90" s="6">
        <v>606</v>
      </c>
      <c r="K90" s="7">
        <v>984</v>
      </c>
      <c r="L90" s="6">
        <v>1332</v>
      </c>
      <c r="M90" s="6">
        <v>1352</v>
      </c>
      <c r="N90" s="6">
        <v>1575</v>
      </c>
      <c r="O90" s="7">
        <v>2993</v>
      </c>
      <c r="P90" s="6">
        <v>1504</v>
      </c>
      <c r="Q90" s="6">
        <v>1382</v>
      </c>
      <c r="R90" s="6">
        <v>1480</v>
      </c>
      <c r="S90" s="7">
        <v>1583</v>
      </c>
      <c r="T90" s="6">
        <v>885</v>
      </c>
      <c r="U90" s="6"/>
      <c r="V90" s="6"/>
      <c r="W90" s="7"/>
    </row>
    <row r="91" spans="1:23" x14ac:dyDescent="0.35">
      <c r="A91" s="173" t="s">
        <v>29</v>
      </c>
      <c r="B91" s="171" t="s">
        <v>88</v>
      </c>
      <c r="C91" s="12" t="s">
        <v>59</v>
      </c>
      <c r="D91" s="8">
        <v>4633</v>
      </c>
      <c r="E91" s="8">
        <v>4205</v>
      </c>
      <c r="F91" s="8">
        <v>4100</v>
      </c>
      <c r="G91" s="9">
        <v>4347</v>
      </c>
      <c r="H91" s="8">
        <v>4639</v>
      </c>
      <c r="I91" s="8">
        <v>6588</v>
      </c>
      <c r="J91" s="8">
        <v>7080</v>
      </c>
      <c r="K91" s="9">
        <v>7588</v>
      </c>
      <c r="L91" s="8">
        <v>8799</v>
      </c>
      <c r="M91" s="8">
        <v>7143</v>
      </c>
      <c r="N91" s="8">
        <v>9143</v>
      </c>
      <c r="O91" s="9">
        <v>10272</v>
      </c>
      <c r="P91" s="8">
        <v>11901</v>
      </c>
      <c r="Q91" s="8">
        <v>14335</v>
      </c>
      <c r="R91" s="8">
        <v>15881</v>
      </c>
      <c r="S91" s="9">
        <v>12674</v>
      </c>
      <c r="T91" s="24">
        <v>11803</v>
      </c>
      <c r="U91" s="8"/>
      <c r="V91" s="8"/>
      <c r="W91" s="9"/>
    </row>
    <row r="92" spans="1:23" x14ac:dyDescent="0.35">
      <c r="A92" s="137" t="s">
        <v>30</v>
      </c>
      <c r="B92" s="59" t="s">
        <v>89</v>
      </c>
      <c r="C92" s="11" t="s">
        <v>57</v>
      </c>
      <c r="D92" s="6">
        <v>77</v>
      </c>
      <c r="E92" s="6">
        <v>136</v>
      </c>
      <c r="F92" s="6">
        <v>172</v>
      </c>
      <c r="G92" s="7">
        <v>204</v>
      </c>
      <c r="H92" s="6">
        <v>131</v>
      </c>
      <c r="I92" s="6">
        <v>144</v>
      </c>
      <c r="J92" s="6">
        <v>162</v>
      </c>
      <c r="K92" s="7">
        <v>153</v>
      </c>
      <c r="L92" s="6">
        <v>140</v>
      </c>
      <c r="M92" s="6">
        <v>141</v>
      </c>
      <c r="N92" s="6">
        <v>173</v>
      </c>
      <c r="O92" s="7">
        <v>132</v>
      </c>
      <c r="P92" s="6">
        <v>169</v>
      </c>
      <c r="Q92" s="6">
        <v>173</v>
      </c>
      <c r="R92" s="6">
        <v>180</v>
      </c>
      <c r="S92" s="7">
        <v>168</v>
      </c>
      <c r="T92" s="6">
        <v>342</v>
      </c>
      <c r="U92" s="6"/>
      <c r="V92" s="6"/>
      <c r="W92" s="7"/>
    </row>
    <row r="93" spans="1:23" x14ac:dyDescent="0.35">
      <c r="A93" s="173" t="s">
        <v>30</v>
      </c>
      <c r="B93" s="171" t="s">
        <v>89</v>
      </c>
      <c r="C93" s="11" t="s">
        <v>58</v>
      </c>
      <c r="D93" s="6">
        <v>28</v>
      </c>
      <c r="E93" s="6">
        <v>27</v>
      </c>
      <c r="F93" s="6">
        <v>19</v>
      </c>
      <c r="G93" s="7">
        <v>18</v>
      </c>
      <c r="H93" s="6">
        <v>16</v>
      </c>
      <c r="I93" s="6">
        <v>37</v>
      </c>
      <c r="J93" s="6">
        <v>21</v>
      </c>
      <c r="K93" s="7">
        <v>33</v>
      </c>
      <c r="L93" s="6">
        <v>21</v>
      </c>
      <c r="M93" s="6">
        <v>33</v>
      </c>
      <c r="N93" s="6">
        <v>12</v>
      </c>
      <c r="O93" s="7">
        <v>37</v>
      </c>
      <c r="P93" s="6">
        <v>9</v>
      </c>
      <c r="Q93" s="6">
        <v>18</v>
      </c>
      <c r="R93" s="6">
        <v>21</v>
      </c>
      <c r="S93" s="7">
        <v>14</v>
      </c>
      <c r="T93" s="6">
        <v>11</v>
      </c>
      <c r="U93" s="6"/>
      <c r="V93" s="6"/>
      <c r="W93" s="7"/>
    </row>
    <row r="94" spans="1:23" x14ac:dyDescent="0.35">
      <c r="A94" s="173" t="s">
        <v>30</v>
      </c>
      <c r="B94" s="174" t="s">
        <v>89</v>
      </c>
      <c r="C94" s="12" t="s">
        <v>59</v>
      </c>
      <c r="D94" s="8">
        <v>361</v>
      </c>
      <c r="E94" s="8">
        <v>310</v>
      </c>
      <c r="F94" s="8">
        <v>197</v>
      </c>
      <c r="G94" s="9">
        <v>282</v>
      </c>
      <c r="H94" s="8">
        <v>100</v>
      </c>
      <c r="I94" s="8">
        <v>194</v>
      </c>
      <c r="J94" s="8">
        <v>503</v>
      </c>
      <c r="K94" s="9">
        <v>400</v>
      </c>
      <c r="L94" s="8">
        <v>360</v>
      </c>
      <c r="M94" s="8">
        <v>319</v>
      </c>
      <c r="N94" s="8">
        <v>291</v>
      </c>
      <c r="O94" s="9">
        <v>231</v>
      </c>
      <c r="P94" s="8">
        <v>209</v>
      </c>
      <c r="Q94" s="8">
        <v>141</v>
      </c>
      <c r="R94" s="8">
        <v>138</v>
      </c>
      <c r="S94" s="9">
        <v>70</v>
      </c>
      <c r="T94" s="24">
        <v>162</v>
      </c>
      <c r="U94" s="8"/>
      <c r="V94" s="8"/>
      <c r="W94" s="9"/>
    </row>
    <row r="95" spans="1:23" x14ac:dyDescent="0.35">
      <c r="A95" s="137" t="s">
        <v>31</v>
      </c>
      <c r="B95" s="175" t="s">
        <v>31</v>
      </c>
      <c r="C95" s="172" t="s">
        <v>57</v>
      </c>
      <c r="D95" s="6">
        <v>217</v>
      </c>
      <c r="E95" s="6">
        <v>202</v>
      </c>
      <c r="F95" s="6">
        <v>136</v>
      </c>
      <c r="G95" s="7">
        <v>243</v>
      </c>
      <c r="H95" s="6">
        <v>214</v>
      </c>
      <c r="I95" s="6">
        <v>318</v>
      </c>
      <c r="J95" s="6">
        <v>248</v>
      </c>
      <c r="K95" s="7">
        <v>286</v>
      </c>
      <c r="L95" s="6">
        <v>251</v>
      </c>
      <c r="M95" s="6">
        <v>320</v>
      </c>
      <c r="N95" s="6">
        <v>250</v>
      </c>
      <c r="O95" s="7">
        <v>232</v>
      </c>
      <c r="P95" s="6">
        <v>302</v>
      </c>
      <c r="Q95" s="6">
        <v>326</v>
      </c>
      <c r="R95" s="6">
        <v>349</v>
      </c>
      <c r="S95" s="7">
        <v>589</v>
      </c>
      <c r="T95" s="6">
        <v>411</v>
      </c>
      <c r="U95" s="6"/>
      <c r="V95" s="6"/>
      <c r="W95" s="7"/>
    </row>
    <row r="96" spans="1:23" x14ac:dyDescent="0.35">
      <c r="A96" s="173" t="s">
        <v>31</v>
      </c>
      <c r="B96" s="171" t="s">
        <v>31</v>
      </c>
      <c r="C96" s="11" t="s">
        <v>58</v>
      </c>
      <c r="D96" s="6">
        <v>41</v>
      </c>
      <c r="E96" s="6">
        <v>62</v>
      </c>
      <c r="F96" s="6">
        <v>55</v>
      </c>
      <c r="G96" s="7">
        <v>63</v>
      </c>
      <c r="H96" s="6">
        <v>45</v>
      </c>
      <c r="I96" s="6">
        <v>44</v>
      </c>
      <c r="J96" s="6">
        <v>34</v>
      </c>
      <c r="K96" s="7">
        <v>52</v>
      </c>
      <c r="L96" s="6">
        <v>39</v>
      </c>
      <c r="M96" s="6">
        <v>53</v>
      </c>
      <c r="N96" s="6">
        <v>55</v>
      </c>
      <c r="O96" s="7">
        <v>66</v>
      </c>
      <c r="P96" s="6">
        <v>49</v>
      </c>
      <c r="Q96" s="6">
        <v>49</v>
      </c>
      <c r="R96" s="6">
        <v>63</v>
      </c>
      <c r="S96" s="7">
        <v>62</v>
      </c>
      <c r="T96" s="6">
        <v>68</v>
      </c>
      <c r="U96" s="6"/>
      <c r="V96" s="6"/>
      <c r="W96" s="7"/>
    </row>
    <row r="97" spans="1:23" x14ac:dyDescent="0.35">
      <c r="A97" s="173" t="s">
        <v>31</v>
      </c>
      <c r="B97" s="171" t="s">
        <v>31</v>
      </c>
      <c r="C97" s="12" t="s">
        <v>59</v>
      </c>
      <c r="D97" s="8">
        <v>-9</v>
      </c>
      <c r="E97" s="8">
        <v>-78</v>
      </c>
      <c r="F97" s="8">
        <v>-23</v>
      </c>
      <c r="G97" s="9">
        <v>56</v>
      </c>
      <c r="H97" s="8">
        <v>31</v>
      </c>
      <c r="I97" s="8">
        <v>-66</v>
      </c>
      <c r="J97" s="8">
        <v>-201</v>
      </c>
      <c r="K97" s="9">
        <v>-340</v>
      </c>
      <c r="L97" s="8">
        <v>-332</v>
      </c>
      <c r="M97" s="8">
        <v>-229</v>
      </c>
      <c r="N97" s="8">
        <v>-280</v>
      </c>
      <c r="O97" s="9">
        <v>-312</v>
      </c>
      <c r="P97" s="8">
        <v>-216</v>
      </c>
      <c r="Q97" s="8">
        <v>176</v>
      </c>
      <c r="R97" s="8">
        <v>152</v>
      </c>
      <c r="S97" s="9">
        <v>-539.79999999999995</v>
      </c>
      <c r="T97" s="6">
        <v>-374</v>
      </c>
      <c r="U97" s="6"/>
      <c r="V97" s="6"/>
      <c r="W97" s="7"/>
    </row>
    <row r="98" spans="1:23" x14ac:dyDescent="0.35">
      <c r="A98" s="82" t="s">
        <v>53</v>
      </c>
      <c r="B98" s="82"/>
      <c r="C98" s="78"/>
      <c r="D98" s="78"/>
      <c r="E98" s="78"/>
      <c r="F98" s="78"/>
      <c r="G98" s="78"/>
      <c r="H98" s="78"/>
      <c r="I98" s="78"/>
      <c r="J98" s="78"/>
      <c r="K98" s="78"/>
      <c r="L98" s="78"/>
      <c r="M98" s="78"/>
      <c r="N98" s="78"/>
      <c r="O98" s="78"/>
      <c r="P98" s="78"/>
      <c r="Q98" s="78"/>
      <c r="R98" s="78"/>
      <c r="S98" s="102"/>
      <c r="T98" s="168"/>
      <c r="U98" s="169"/>
      <c r="V98" s="169"/>
      <c r="W98" s="101"/>
    </row>
    <row r="99" spans="1:23" x14ac:dyDescent="0.35">
      <c r="A99" s="137" t="s">
        <v>32</v>
      </c>
      <c r="B99" s="59" t="s">
        <v>90</v>
      </c>
      <c r="C99" s="10" t="s">
        <v>57</v>
      </c>
      <c r="D99" s="41">
        <v>8770</v>
      </c>
      <c r="E99" s="41">
        <v>8798</v>
      </c>
      <c r="F99" s="41">
        <v>9240</v>
      </c>
      <c r="G99" s="45">
        <v>8923</v>
      </c>
      <c r="H99" s="41">
        <v>9093</v>
      </c>
      <c r="I99" s="41">
        <v>9306</v>
      </c>
      <c r="J99" s="47">
        <v>9279</v>
      </c>
      <c r="K99" s="48">
        <v>9107</v>
      </c>
      <c r="L99" s="47">
        <v>9066</v>
      </c>
      <c r="M99" s="47">
        <v>9194</v>
      </c>
      <c r="N99" s="47">
        <v>9201</v>
      </c>
      <c r="O99" s="48">
        <v>9238</v>
      </c>
      <c r="P99" s="47">
        <v>8884</v>
      </c>
      <c r="Q99" s="47">
        <v>9157</v>
      </c>
      <c r="R99" s="47">
        <v>9236</v>
      </c>
      <c r="S99" s="48">
        <v>9398</v>
      </c>
      <c r="T99" s="6">
        <v>9327</v>
      </c>
      <c r="U99" s="6"/>
      <c r="V99" s="6"/>
      <c r="W99" s="7"/>
    </row>
    <row r="100" spans="1:23" x14ac:dyDescent="0.35">
      <c r="A100" s="173" t="s">
        <v>32</v>
      </c>
      <c r="B100" s="171" t="s">
        <v>90</v>
      </c>
      <c r="C100" s="11" t="s">
        <v>58</v>
      </c>
      <c r="D100" s="42">
        <v>1137</v>
      </c>
      <c r="E100" s="42">
        <v>2583</v>
      </c>
      <c r="F100" s="42">
        <v>1777</v>
      </c>
      <c r="G100" s="46">
        <v>2075</v>
      </c>
      <c r="H100" s="42">
        <v>855</v>
      </c>
      <c r="I100" s="42">
        <v>2091</v>
      </c>
      <c r="J100" s="49">
        <v>2777</v>
      </c>
      <c r="K100" s="50">
        <v>2116</v>
      </c>
      <c r="L100" s="49">
        <v>1280</v>
      </c>
      <c r="M100" s="49">
        <v>1953</v>
      </c>
      <c r="N100" s="49">
        <v>2028</v>
      </c>
      <c r="O100" s="50">
        <v>5904</v>
      </c>
      <c r="P100" s="49">
        <v>1134</v>
      </c>
      <c r="Q100" s="49">
        <v>2050</v>
      </c>
      <c r="R100" s="49">
        <v>3822</v>
      </c>
      <c r="S100" s="50">
        <v>3885</v>
      </c>
      <c r="T100" s="6">
        <v>1348</v>
      </c>
      <c r="U100" s="6"/>
      <c r="V100" s="6"/>
      <c r="W100" s="7"/>
    </row>
    <row r="101" spans="1:23" x14ac:dyDescent="0.35">
      <c r="A101" s="173" t="s">
        <v>32</v>
      </c>
      <c r="B101" s="171" t="s">
        <v>90</v>
      </c>
      <c r="C101" s="12" t="s">
        <v>59</v>
      </c>
      <c r="D101" s="43">
        <v>12288</v>
      </c>
      <c r="E101" s="43">
        <v>12166</v>
      </c>
      <c r="F101" s="43">
        <v>17166</v>
      </c>
      <c r="G101" s="44">
        <v>16355</v>
      </c>
      <c r="H101" s="43">
        <v>15419</v>
      </c>
      <c r="I101" s="43">
        <v>15733</v>
      </c>
      <c r="J101" s="43">
        <v>17410</v>
      </c>
      <c r="K101" s="44">
        <v>16367</v>
      </c>
      <c r="L101" s="43">
        <v>14909</v>
      </c>
      <c r="M101" s="43">
        <v>14383</v>
      </c>
      <c r="N101" s="43">
        <v>22999</v>
      </c>
      <c r="O101" s="44">
        <v>22436</v>
      </c>
      <c r="P101" s="43">
        <v>20914</v>
      </c>
      <c r="Q101" s="43">
        <v>17624</v>
      </c>
      <c r="R101" s="43">
        <v>17986</v>
      </c>
      <c r="S101" s="44">
        <v>17610</v>
      </c>
      <c r="T101" s="6">
        <v>18779</v>
      </c>
      <c r="U101" s="6"/>
      <c r="V101" s="6"/>
      <c r="W101" s="7"/>
    </row>
    <row r="102" spans="1:23" x14ac:dyDescent="0.35">
      <c r="A102" s="169" t="s">
        <v>54</v>
      </c>
      <c r="B102" s="169"/>
      <c r="C102" s="80"/>
      <c r="D102" s="80"/>
      <c r="E102" s="80"/>
      <c r="F102" s="80"/>
      <c r="G102" s="80"/>
      <c r="H102" s="80"/>
      <c r="I102" s="80"/>
      <c r="J102" s="80"/>
      <c r="K102" s="80"/>
      <c r="L102" s="80"/>
      <c r="M102" s="80"/>
      <c r="N102" s="80"/>
      <c r="O102" s="80"/>
      <c r="P102" s="80"/>
      <c r="Q102" s="80"/>
      <c r="R102" s="80"/>
      <c r="S102" s="101"/>
      <c r="T102" s="168"/>
      <c r="U102" s="169"/>
      <c r="V102" s="169"/>
      <c r="W102" s="101"/>
    </row>
    <row r="103" spans="1:23" x14ac:dyDescent="0.35">
      <c r="A103" s="137" t="s">
        <v>33</v>
      </c>
      <c r="B103" s="59" t="s">
        <v>91</v>
      </c>
      <c r="C103" s="10" t="s">
        <v>57</v>
      </c>
      <c r="D103" s="4">
        <v>471</v>
      </c>
      <c r="E103" s="4">
        <v>335</v>
      </c>
      <c r="F103" s="4">
        <v>405</v>
      </c>
      <c r="G103" s="5">
        <v>373</v>
      </c>
      <c r="H103" s="4">
        <v>523</v>
      </c>
      <c r="I103" s="4">
        <v>480</v>
      </c>
      <c r="J103" s="4">
        <v>502</v>
      </c>
      <c r="K103" s="5">
        <v>513</v>
      </c>
      <c r="L103" s="4">
        <v>650</v>
      </c>
      <c r="M103" s="4">
        <v>559</v>
      </c>
      <c r="N103" s="4">
        <v>603</v>
      </c>
      <c r="O103" s="5">
        <v>552</v>
      </c>
      <c r="P103" s="4">
        <v>715</v>
      </c>
      <c r="Q103" s="4">
        <v>618</v>
      </c>
      <c r="R103" s="4">
        <v>641</v>
      </c>
      <c r="S103" s="5">
        <v>458</v>
      </c>
      <c r="T103" s="6">
        <v>615</v>
      </c>
      <c r="U103" s="6"/>
      <c r="V103" s="6"/>
      <c r="W103" s="7"/>
    </row>
    <row r="104" spans="1:23" x14ac:dyDescent="0.35">
      <c r="A104" s="173" t="s">
        <v>33</v>
      </c>
      <c r="B104" s="171" t="s">
        <v>91</v>
      </c>
      <c r="C104" s="12" t="s">
        <v>59</v>
      </c>
      <c r="D104" s="8">
        <v>2238</v>
      </c>
      <c r="E104" s="8">
        <v>2268</v>
      </c>
      <c r="F104" s="8">
        <v>2144</v>
      </c>
      <c r="G104" s="9">
        <v>2128</v>
      </c>
      <c r="H104" s="8">
        <v>2157</v>
      </c>
      <c r="I104" s="8">
        <v>2183</v>
      </c>
      <c r="J104" s="8">
        <v>2062</v>
      </c>
      <c r="K104" s="9">
        <v>1713</v>
      </c>
      <c r="L104" s="8">
        <v>1655</v>
      </c>
      <c r="M104" s="8">
        <v>1376</v>
      </c>
      <c r="N104" s="8">
        <v>1490</v>
      </c>
      <c r="O104" s="9">
        <v>1137</v>
      </c>
      <c r="P104" s="8">
        <v>1060</v>
      </c>
      <c r="Q104" s="8">
        <v>939</v>
      </c>
      <c r="R104" s="8">
        <v>1019</v>
      </c>
      <c r="S104" s="9">
        <v>1303</v>
      </c>
      <c r="T104" s="24">
        <v>1278</v>
      </c>
      <c r="U104" s="8"/>
      <c r="V104" s="8"/>
      <c r="W104" s="9"/>
    </row>
    <row r="105" spans="1:23" x14ac:dyDescent="0.35">
      <c r="A105" s="137" t="s">
        <v>34</v>
      </c>
      <c r="B105" s="59" t="s">
        <v>92</v>
      </c>
      <c r="C105" s="11" t="s">
        <v>57</v>
      </c>
      <c r="D105" s="6">
        <v>509</v>
      </c>
      <c r="E105" s="6">
        <v>301</v>
      </c>
      <c r="F105" s="6">
        <v>327</v>
      </c>
      <c r="G105" s="7">
        <v>257</v>
      </c>
      <c r="H105" s="6">
        <v>572</v>
      </c>
      <c r="I105" s="6">
        <v>833</v>
      </c>
      <c r="J105" s="6">
        <v>346</v>
      </c>
      <c r="K105" s="7">
        <v>348</v>
      </c>
      <c r="L105" s="6">
        <v>689</v>
      </c>
      <c r="M105" s="6">
        <v>998</v>
      </c>
      <c r="N105" s="6">
        <v>249</v>
      </c>
      <c r="O105" s="7">
        <v>653</v>
      </c>
      <c r="P105" s="6">
        <v>722</v>
      </c>
      <c r="Q105" s="6">
        <v>575</v>
      </c>
      <c r="R105" s="6">
        <v>353</v>
      </c>
      <c r="S105" s="7">
        <v>1059</v>
      </c>
      <c r="T105" s="6">
        <v>758</v>
      </c>
      <c r="U105" s="6"/>
      <c r="V105" s="6"/>
      <c r="W105" s="7"/>
    </row>
    <row r="106" spans="1:23" x14ac:dyDescent="0.35">
      <c r="A106" s="173" t="s">
        <v>34</v>
      </c>
      <c r="B106" s="171" t="s">
        <v>92</v>
      </c>
      <c r="C106" s="12" t="s">
        <v>59</v>
      </c>
      <c r="D106" s="8">
        <v>4340</v>
      </c>
      <c r="E106" s="8">
        <v>4500</v>
      </c>
      <c r="F106" s="8">
        <v>4600</v>
      </c>
      <c r="G106" s="9">
        <v>4600</v>
      </c>
      <c r="H106" s="8">
        <v>4600</v>
      </c>
      <c r="I106" s="8">
        <v>4700</v>
      </c>
      <c r="J106" s="8">
        <v>4700</v>
      </c>
      <c r="K106" s="9">
        <v>4300</v>
      </c>
      <c r="L106" s="8">
        <v>4200</v>
      </c>
      <c r="M106" s="8">
        <v>4300</v>
      </c>
      <c r="N106" s="8">
        <v>4200</v>
      </c>
      <c r="O106" s="9">
        <v>4100</v>
      </c>
      <c r="P106" s="8">
        <v>3900</v>
      </c>
      <c r="Q106" s="8">
        <v>4100</v>
      </c>
      <c r="R106" s="8">
        <v>4100</v>
      </c>
      <c r="S106" s="9"/>
      <c r="T106" s="24">
        <v>4600</v>
      </c>
      <c r="U106" s="8"/>
      <c r="V106" s="8"/>
      <c r="W106" s="9"/>
    </row>
    <row r="107" spans="1:23" x14ac:dyDescent="0.35">
      <c r="A107" s="137" t="s">
        <v>35</v>
      </c>
      <c r="B107" s="59" t="s">
        <v>93</v>
      </c>
      <c r="C107" s="11" t="s">
        <v>57</v>
      </c>
      <c r="D107" s="6">
        <v>45</v>
      </c>
      <c r="E107" s="6">
        <v>242</v>
      </c>
      <c r="F107" s="6">
        <v>107</v>
      </c>
      <c r="G107" s="7">
        <v>142</v>
      </c>
      <c r="H107" s="6">
        <v>51</v>
      </c>
      <c r="I107" s="6">
        <v>202</v>
      </c>
      <c r="J107" s="6">
        <v>117</v>
      </c>
      <c r="K107" s="7">
        <v>50</v>
      </c>
      <c r="L107" s="6">
        <v>54</v>
      </c>
      <c r="M107" s="6">
        <v>38</v>
      </c>
      <c r="N107" s="6">
        <v>32</v>
      </c>
      <c r="O107" s="7">
        <v>12</v>
      </c>
      <c r="P107" s="6">
        <v>64</v>
      </c>
      <c r="Q107" s="6">
        <v>106</v>
      </c>
      <c r="R107" s="6">
        <v>113</v>
      </c>
      <c r="S107" s="7">
        <v>191</v>
      </c>
      <c r="T107" s="6">
        <v>67</v>
      </c>
      <c r="U107" s="6"/>
      <c r="V107" s="6"/>
      <c r="W107" s="7"/>
    </row>
    <row r="108" spans="1:23" x14ac:dyDescent="0.35">
      <c r="A108" s="173" t="s">
        <v>35</v>
      </c>
      <c r="B108" s="171" t="s">
        <v>93</v>
      </c>
      <c r="C108" s="12" t="s">
        <v>59</v>
      </c>
      <c r="D108" s="8">
        <v>2459</v>
      </c>
      <c r="E108" s="8">
        <v>2397</v>
      </c>
      <c r="F108" s="8">
        <v>2372</v>
      </c>
      <c r="G108" s="9">
        <v>2327</v>
      </c>
      <c r="H108" s="8">
        <v>1803</v>
      </c>
      <c r="I108" s="8">
        <v>1729</v>
      </c>
      <c r="J108" s="8">
        <v>1708</v>
      </c>
      <c r="K108" s="9">
        <v>1733</v>
      </c>
      <c r="L108" s="8">
        <v>1697</v>
      </c>
      <c r="M108" s="8">
        <v>1781</v>
      </c>
      <c r="N108" s="8">
        <v>1728</v>
      </c>
      <c r="O108" s="9">
        <v>1710</v>
      </c>
      <c r="P108" s="8">
        <v>1696</v>
      </c>
      <c r="Q108" s="8">
        <v>1635</v>
      </c>
      <c r="R108" s="8">
        <v>1594</v>
      </c>
      <c r="S108" s="9">
        <v>1775</v>
      </c>
      <c r="T108" s="6">
        <v>1739</v>
      </c>
      <c r="U108" s="6"/>
      <c r="V108" s="6"/>
      <c r="W108" s="7"/>
    </row>
    <row r="109" spans="1:23" x14ac:dyDescent="0.35">
      <c r="A109" s="169" t="s">
        <v>55</v>
      </c>
      <c r="B109" s="169"/>
      <c r="C109" s="80"/>
      <c r="D109" s="80"/>
      <c r="E109" s="80"/>
      <c r="F109" s="80"/>
      <c r="G109" s="80"/>
      <c r="H109" s="80"/>
      <c r="I109" s="80"/>
      <c r="J109" s="80"/>
      <c r="K109" s="80"/>
      <c r="L109" s="80"/>
      <c r="M109" s="80"/>
      <c r="N109" s="80"/>
      <c r="O109" s="80"/>
      <c r="P109" s="80"/>
      <c r="Q109" s="80"/>
      <c r="R109" s="80"/>
      <c r="S109" s="101"/>
      <c r="T109" s="168"/>
      <c r="U109" s="169"/>
      <c r="V109" s="169"/>
      <c r="W109" s="101"/>
    </row>
    <row r="110" spans="1:23" x14ac:dyDescent="0.35">
      <c r="A110" s="137" t="s">
        <v>36</v>
      </c>
      <c r="B110" s="59" t="s">
        <v>94</v>
      </c>
      <c r="C110" s="13" t="s">
        <v>57</v>
      </c>
      <c r="D110" s="4">
        <v>210</v>
      </c>
      <c r="E110" s="4">
        <v>241</v>
      </c>
      <c r="F110" s="4">
        <v>265</v>
      </c>
      <c r="G110" s="5">
        <v>318</v>
      </c>
      <c r="H110" s="4">
        <v>380</v>
      </c>
      <c r="I110" s="4">
        <v>443</v>
      </c>
      <c r="J110" s="4">
        <v>507</v>
      </c>
      <c r="K110" s="4">
        <v>582</v>
      </c>
      <c r="L110" s="87">
        <v>611</v>
      </c>
      <c r="M110" s="4">
        <v>637</v>
      </c>
      <c r="N110" s="4">
        <v>768</v>
      </c>
      <c r="O110" s="5">
        <v>936</v>
      </c>
      <c r="P110" s="4">
        <v>940</v>
      </c>
      <c r="Q110" s="4">
        <v>1150</v>
      </c>
      <c r="R110" s="4">
        <v>1030</v>
      </c>
      <c r="S110" s="5">
        <v>1289</v>
      </c>
      <c r="T110" s="6">
        <v>1170</v>
      </c>
      <c r="U110" s="6"/>
      <c r="V110" s="6"/>
      <c r="W110" s="7"/>
    </row>
    <row r="111" spans="1:23" x14ac:dyDescent="0.35">
      <c r="A111" s="173" t="s">
        <v>36</v>
      </c>
      <c r="B111" s="171" t="s">
        <v>94</v>
      </c>
      <c r="C111" s="14" t="s">
        <v>58</v>
      </c>
      <c r="D111" s="6">
        <v>22</v>
      </c>
      <c r="E111" s="6">
        <v>106</v>
      </c>
      <c r="F111" s="6">
        <v>173</v>
      </c>
      <c r="G111" s="7">
        <v>807</v>
      </c>
      <c r="H111" s="6">
        <v>247</v>
      </c>
      <c r="I111" s="6">
        <v>340</v>
      </c>
      <c r="J111" s="6">
        <v>178</v>
      </c>
      <c r="K111" s="6">
        <v>296</v>
      </c>
      <c r="L111" s="88">
        <v>184</v>
      </c>
      <c r="M111" s="25">
        <v>384</v>
      </c>
      <c r="N111" s="6">
        <v>147</v>
      </c>
      <c r="O111" s="7">
        <v>974</v>
      </c>
      <c r="P111" s="6">
        <v>135</v>
      </c>
      <c r="Q111" s="6">
        <v>790</v>
      </c>
      <c r="R111" s="6">
        <v>59</v>
      </c>
      <c r="S111" s="7">
        <v>1071</v>
      </c>
      <c r="T111" s="6">
        <v>243</v>
      </c>
      <c r="U111" s="6"/>
      <c r="V111" s="6"/>
      <c r="W111" s="7"/>
    </row>
    <row r="112" spans="1:23" x14ac:dyDescent="0.35">
      <c r="A112" s="173" t="s">
        <v>36</v>
      </c>
      <c r="B112" s="171" t="s">
        <v>94</v>
      </c>
      <c r="C112" s="15" t="s">
        <v>59</v>
      </c>
      <c r="D112" s="34"/>
      <c r="E112" s="34"/>
      <c r="F112" s="34"/>
      <c r="G112" s="35"/>
      <c r="H112" s="8">
        <v>672</v>
      </c>
      <c r="I112" s="8">
        <v>872</v>
      </c>
      <c r="J112" s="8">
        <v>939</v>
      </c>
      <c r="K112" s="8">
        <v>1150</v>
      </c>
      <c r="L112" s="24">
        <v>1222</v>
      </c>
      <c r="M112" s="8">
        <v>1818</v>
      </c>
      <c r="N112" s="8">
        <v>1408</v>
      </c>
      <c r="O112" s="9">
        <v>1872</v>
      </c>
      <c r="P112" s="8">
        <v>2014</v>
      </c>
      <c r="Q112" s="8">
        <v>2827</v>
      </c>
      <c r="R112" s="8">
        <v>3438</v>
      </c>
      <c r="S112" s="9">
        <v>4246</v>
      </c>
      <c r="T112" s="24">
        <v>4539</v>
      </c>
      <c r="U112" s="8"/>
      <c r="V112" s="8"/>
      <c r="W112" s="9"/>
    </row>
    <row r="113" spans="1:23" x14ac:dyDescent="0.35">
      <c r="A113" s="137" t="s">
        <v>37</v>
      </c>
      <c r="B113" s="59" t="s">
        <v>95</v>
      </c>
      <c r="C113" s="14" t="s">
        <v>57</v>
      </c>
      <c r="D113" s="38"/>
      <c r="E113" s="38"/>
      <c r="F113" s="38"/>
      <c r="G113" s="32"/>
      <c r="H113" s="38"/>
      <c r="I113" s="38"/>
      <c r="J113" s="38"/>
      <c r="K113" s="38"/>
      <c r="L113" s="88">
        <v>165</v>
      </c>
      <c r="M113" s="25">
        <v>201</v>
      </c>
      <c r="N113" s="6">
        <v>189</v>
      </c>
      <c r="O113" s="7">
        <v>280</v>
      </c>
      <c r="P113" s="6">
        <v>222</v>
      </c>
      <c r="Q113" s="6">
        <v>305</v>
      </c>
      <c r="R113" s="6">
        <v>169</v>
      </c>
      <c r="S113" s="7">
        <v>389</v>
      </c>
      <c r="T113" s="6">
        <v>196</v>
      </c>
      <c r="U113" s="6"/>
      <c r="V113" s="6"/>
      <c r="W113" s="7"/>
    </row>
    <row r="114" spans="1:23" x14ac:dyDescent="0.35">
      <c r="A114" s="173" t="s">
        <v>37</v>
      </c>
      <c r="B114" s="171" t="s">
        <v>95</v>
      </c>
      <c r="C114" s="14" t="s">
        <v>58</v>
      </c>
      <c r="D114" s="38"/>
      <c r="E114" s="38"/>
      <c r="F114" s="38"/>
      <c r="G114" s="32"/>
      <c r="H114" s="38"/>
      <c r="I114" s="38"/>
      <c r="J114" s="38"/>
      <c r="K114" s="38"/>
      <c r="L114" s="106">
        <v>0.6</v>
      </c>
      <c r="M114" s="103">
        <v>-0.2</v>
      </c>
      <c r="N114" s="6">
        <v>1</v>
      </c>
      <c r="O114" s="7">
        <v>2</v>
      </c>
      <c r="P114" s="6">
        <v>2</v>
      </c>
      <c r="Q114" s="6">
        <v>2.5</v>
      </c>
      <c r="R114" s="6">
        <v>12</v>
      </c>
      <c r="S114" s="7">
        <v>15</v>
      </c>
      <c r="T114" s="6">
        <v>3</v>
      </c>
      <c r="U114" s="6"/>
      <c r="V114" s="6"/>
      <c r="W114" s="7"/>
    </row>
    <row r="115" spans="1:23" x14ac:dyDescent="0.35">
      <c r="A115" s="173" t="s">
        <v>37</v>
      </c>
      <c r="B115" s="171" t="s">
        <v>95</v>
      </c>
      <c r="C115" s="15" t="s">
        <v>59</v>
      </c>
      <c r="D115" s="34"/>
      <c r="E115" s="34"/>
      <c r="F115" s="34"/>
      <c r="G115" s="35"/>
      <c r="H115" s="34"/>
      <c r="I115" s="34"/>
      <c r="J115" s="34"/>
      <c r="K115" s="34"/>
      <c r="L115" s="33"/>
      <c r="M115" s="25">
        <v>272</v>
      </c>
      <c r="N115" s="8">
        <v>294</v>
      </c>
      <c r="O115" s="9">
        <v>299</v>
      </c>
      <c r="P115" s="36">
        <v>87</v>
      </c>
      <c r="Q115" s="8">
        <v>275</v>
      </c>
      <c r="R115" s="8">
        <v>-279</v>
      </c>
      <c r="S115" s="9">
        <v>-315</v>
      </c>
      <c r="T115" s="24">
        <v>-250</v>
      </c>
      <c r="U115" s="8"/>
      <c r="V115" s="8"/>
      <c r="W115" s="9"/>
    </row>
    <row r="116" spans="1:23" x14ac:dyDescent="0.35">
      <c r="A116" s="140" t="s">
        <v>38</v>
      </c>
      <c r="B116" s="59" t="s">
        <v>96</v>
      </c>
      <c r="C116" s="10" t="s">
        <v>57</v>
      </c>
      <c r="D116" s="6">
        <v>581</v>
      </c>
      <c r="E116" s="6">
        <v>581</v>
      </c>
      <c r="F116" s="6">
        <v>511</v>
      </c>
      <c r="G116" s="7">
        <v>599</v>
      </c>
      <c r="H116" s="6">
        <v>597</v>
      </c>
      <c r="I116" s="6">
        <v>612</v>
      </c>
      <c r="J116" s="6">
        <v>573</v>
      </c>
      <c r="K116" s="6">
        <v>673</v>
      </c>
      <c r="L116" s="88">
        <v>656</v>
      </c>
      <c r="M116" s="4">
        <v>672</v>
      </c>
      <c r="N116" s="6">
        <v>2039</v>
      </c>
      <c r="O116" s="7">
        <v>777</v>
      </c>
      <c r="P116" s="6">
        <v>782</v>
      </c>
      <c r="Q116" s="6">
        <v>767</v>
      </c>
      <c r="R116" s="6">
        <v>757</v>
      </c>
      <c r="S116" s="7">
        <v>921</v>
      </c>
      <c r="T116" s="6">
        <v>879</v>
      </c>
      <c r="U116" s="6"/>
      <c r="V116" s="6"/>
      <c r="W116" s="7"/>
    </row>
    <row r="117" spans="1:23" x14ac:dyDescent="0.35">
      <c r="A117" s="177" t="s">
        <v>38</v>
      </c>
      <c r="B117" s="171" t="s">
        <v>96</v>
      </c>
      <c r="C117" s="11" t="s">
        <v>58</v>
      </c>
      <c r="D117" s="6">
        <v>3</v>
      </c>
      <c r="E117" s="6">
        <v>14</v>
      </c>
      <c r="F117" s="6">
        <v>16</v>
      </c>
      <c r="G117" s="7">
        <v>22</v>
      </c>
      <c r="H117" s="6">
        <v>11</v>
      </c>
      <c r="I117" s="6">
        <v>11</v>
      </c>
      <c r="J117" s="6">
        <v>13</v>
      </c>
      <c r="K117" s="6">
        <v>65</v>
      </c>
      <c r="L117" s="88">
        <v>13</v>
      </c>
      <c r="M117" s="25">
        <v>10</v>
      </c>
      <c r="N117" s="6">
        <v>11</v>
      </c>
      <c r="O117" s="7">
        <v>40</v>
      </c>
      <c r="P117" s="6">
        <v>9</v>
      </c>
      <c r="Q117" s="6">
        <v>19</v>
      </c>
      <c r="R117" s="6">
        <v>21</v>
      </c>
      <c r="S117" s="7">
        <v>36</v>
      </c>
      <c r="T117" s="6">
        <v>77</v>
      </c>
      <c r="U117" s="6"/>
      <c r="V117" s="6"/>
      <c r="W117" s="7"/>
    </row>
    <row r="118" spans="1:23" x14ac:dyDescent="0.35">
      <c r="A118" s="177" t="s">
        <v>38</v>
      </c>
      <c r="B118" s="171" t="s">
        <v>96</v>
      </c>
      <c r="C118" s="12" t="s">
        <v>59</v>
      </c>
      <c r="D118" s="8">
        <v>98</v>
      </c>
      <c r="E118" s="8">
        <v>118</v>
      </c>
      <c r="F118" s="8">
        <v>271</v>
      </c>
      <c r="G118" s="9">
        <v>275</v>
      </c>
      <c r="H118" s="8">
        <v>228</v>
      </c>
      <c r="I118" s="8">
        <v>288</v>
      </c>
      <c r="J118" s="8">
        <v>171</v>
      </c>
      <c r="K118" s="8">
        <v>443</v>
      </c>
      <c r="L118" s="24">
        <v>448</v>
      </c>
      <c r="M118" s="8">
        <v>394</v>
      </c>
      <c r="N118" s="8">
        <v>609</v>
      </c>
      <c r="O118" s="9">
        <v>507</v>
      </c>
      <c r="P118" s="8">
        <v>232</v>
      </c>
      <c r="Q118" s="8">
        <v>312</v>
      </c>
      <c r="R118" s="8">
        <v>549</v>
      </c>
      <c r="S118" s="9">
        <v>738</v>
      </c>
      <c r="T118" s="6">
        <v>725</v>
      </c>
      <c r="U118" s="6"/>
      <c r="V118" s="6"/>
      <c r="W118" s="7"/>
    </row>
    <row r="119" spans="1:23" x14ac:dyDescent="0.35">
      <c r="A119" s="169" t="s">
        <v>56</v>
      </c>
      <c r="B119" s="169"/>
      <c r="C119" s="80"/>
      <c r="D119" s="80"/>
      <c r="E119" s="80"/>
      <c r="F119" s="80"/>
      <c r="G119" s="80"/>
      <c r="H119" s="80"/>
      <c r="I119" s="80"/>
      <c r="J119" s="80"/>
      <c r="K119" s="80"/>
      <c r="L119" s="107"/>
      <c r="M119" s="105"/>
      <c r="N119" s="80"/>
      <c r="O119" s="80"/>
      <c r="P119" s="80"/>
      <c r="Q119" s="80"/>
      <c r="R119" s="80"/>
      <c r="S119" s="101"/>
      <c r="T119" s="168"/>
      <c r="U119" s="169"/>
      <c r="V119" s="169"/>
      <c r="W119" s="101"/>
    </row>
    <row r="120" spans="1:23" x14ac:dyDescent="0.35">
      <c r="A120" s="137" t="s">
        <v>39</v>
      </c>
      <c r="B120" s="59" t="s">
        <v>97</v>
      </c>
      <c r="C120" s="10" t="s">
        <v>57</v>
      </c>
      <c r="D120" s="41">
        <v>117.6</v>
      </c>
      <c r="E120" s="41">
        <v>112.5</v>
      </c>
      <c r="F120" s="41">
        <v>121.1</v>
      </c>
      <c r="G120" s="45">
        <v>134.80000000000001</v>
      </c>
      <c r="H120" s="41">
        <v>142.30000000000001</v>
      </c>
      <c r="I120" s="41">
        <v>152.9</v>
      </c>
      <c r="J120" s="47">
        <v>137</v>
      </c>
      <c r="K120" s="47">
        <v>150.9</v>
      </c>
      <c r="L120" s="108">
        <v>146.1</v>
      </c>
      <c r="M120" s="47">
        <v>151.9</v>
      </c>
      <c r="N120" s="47">
        <v>144.9</v>
      </c>
      <c r="O120" s="48">
        <v>163</v>
      </c>
      <c r="P120" s="47">
        <v>150</v>
      </c>
      <c r="Q120" s="47">
        <v>158</v>
      </c>
      <c r="R120" s="47">
        <v>161</v>
      </c>
      <c r="S120" s="48">
        <v>177</v>
      </c>
      <c r="T120" s="6">
        <v>160</v>
      </c>
      <c r="U120" s="6"/>
      <c r="V120" s="6"/>
      <c r="W120" s="7"/>
    </row>
    <row r="121" spans="1:23" x14ac:dyDescent="0.35">
      <c r="A121" s="173" t="s">
        <v>39</v>
      </c>
      <c r="B121" s="171" t="s">
        <v>97</v>
      </c>
      <c r="C121" s="11" t="s">
        <v>58</v>
      </c>
      <c r="D121" s="42">
        <v>217.6</v>
      </c>
      <c r="E121" s="42">
        <v>163.6</v>
      </c>
      <c r="F121" s="42">
        <v>253.9</v>
      </c>
      <c r="G121" s="46">
        <v>110.9</v>
      </c>
      <c r="H121" s="42">
        <v>135.1</v>
      </c>
      <c r="I121" s="42">
        <v>102.8</v>
      </c>
      <c r="J121" s="49">
        <v>112.4</v>
      </c>
      <c r="K121" s="49">
        <v>123.7</v>
      </c>
      <c r="L121" s="109">
        <v>112.3</v>
      </c>
      <c r="M121" s="104">
        <v>109.2</v>
      </c>
      <c r="N121" s="49">
        <v>65.3</v>
      </c>
      <c r="O121" s="50">
        <v>170</v>
      </c>
      <c r="P121" s="49">
        <v>54.3</v>
      </c>
      <c r="Q121" s="49">
        <v>88</v>
      </c>
      <c r="R121" s="49">
        <v>58</v>
      </c>
      <c r="S121" s="50">
        <v>100</v>
      </c>
      <c r="T121" s="6">
        <v>129</v>
      </c>
      <c r="U121" s="6"/>
      <c r="V121" s="6"/>
      <c r="W121" s="7"/>
    </row>
    <row r="122" spans="1:23" x14ac:dyDescent="0.35">
      <c r="A122" s="173" t="s">
        <v>39</v>
      </c>
      <c r="B122" s="171" t="s">
        <v>97</v>
      </c>
      <c r="C122" s="11" t="s">
        <v>59</v>
      </c>
      <c r="D122" s="104">
        <v>2509.8000000000002</v>
      </c>
      <c r="E122" s="104">
        <v>2835.4</v>
      </c>
      <c r="F122" s="104">
        <v>2707.5</v>
      </c>
      <c r="G122" s="50">
        <v>2816.3</v>
      </c>
      <c r="H122" s="104">
        <v>2361.6999999999998</v>
      </c>
      <c r="I122" s="104">
        <v>2603.9</v>
      </c>
      <c r="J122" s="104">
        <v>2635.6</v>
      </c>
      <c r="K122" s="104">
        <v>2669.7</v>
      </c>
      <c r="L122" s="109">
        <v>2662.9</v>
      </c>
      <c r="M122" s="104">
        <v>2551</v>
      </c>
      <c r="N122" s="104">
        <v>2783</v>
      </c>
      <c r="O122" s="50">
        <v>2529</v>
      </c>
      <c r="P122" s="104">
        <v>2552</v>
      </c>
      <c r="Q122" s="104">
        <v>2845</v>
      </c>
      <c r="R122" s="104">
        <v>2814</v>
      </c>
      <c r="S122" s="50">
        <v>2805</v>
      </c>
      <c r="T122" s="6">
        <v>2853</v>
      </c>
      <c r="U122" s="6"/>
      <c r="V122" s="6"/>
      <c r="W122" s="7"/>
    </row>
    <row r="123" spans="1:23" x14ac:dyDescent="0.35">
      <c r="A123" s="192"/>
      <c r="B123" s="193"/>
      <c r="C123" s="194"/>
      <c r="D123" s="195">
        <f t="shared" ref="D123:S123" si="0">D120+D116+D113+D110+D107+D105+D103+D99+D95+D92+D89+D86+D82+D78+D74+D70+D66+D54+D55+D50+D47+D44+D41+D38+D36+D33+D26+D23+D20+D18+D16+SUM(D3:D14)</f>
        <v>55405.953999999998</v>
      </c>
      <c r="E123" s="195">
        <f t="shared" si="0"/>
        <v>56011.188000000002</v>
      </c>
      <c r="F123" s="195">
        <f t="shared" si="0"/>
        <v>53949.006999999998</v>
      </c>
      <c r="G123" s="195">
        <f t="shared" si="0"/>
        <v>58199.284</v>
      </c>
      <c r="H123" s="195">
        <f t="shared" si="0"/>
        <v>58660.504000000001</v>
      </c>
      <c r="I123" s="195">
        <f t="shared" si="0"/>
        <v>61148.686000000009</v>
      </c>
      <c r="J123" s="195">
        <f t="shared" si="0"/>
        <v>59753.680999999997</v>
      </c>
      <c r="K123" s="195">
        <f t="shared" si="0"/>
        <v>61181.088000000003</v>
      </c>
      <c r="L123" s="195">
        <f t="shared" si="0"/>
        <v>64218.755999999994</v>
      </c>
      <c r="M123" s="195">
        <f t="shared" si="0"/>
        <v>65276.114000000001</v>
      </c>
      <c r="N123" s="195">
        <f t="shared" si="0"/>
        <v>64378.75</v>
      </c>
      <c r="O123" s="195">
        <f t="shared" si="0"/>
        <v>67946.475000000006</v>
      </c>
      <c r="P123" s="195">
        <f t="shared" si="0"/>
        <v>70031.11</v>
      </c>
      <c r="Q123" s="195">
        <f t="shared" si="0"/>
        <v>70568.61</v>
      </c>
      <c r="R123" s="195">
        <f t="shared" si="0"/>
        <v>69369.77</v>
      </c>
      <c r="S123" s="195">
        <f t="shared" si="0"/>
        <v>85023.5</v>
      </c>
      <c r="T123" s="195">
        <f>T120+T116+T113+T110+T107+T105+T103+T99+T95+T92+T89+T86+T82+T78+T74+T70+T66+T54+T55+T50+T47+T44+T41+T38+T36+T33+T26+T23+T20+T18+T16+SUM(T3:T14)</f>
        <v>79395.915999999997</v>
      </c>
      <c r="U123" s="195"/>
      <c r="V123" s="195"/>
      <c r="W123" s="196"/>
    </row>
    <row r="124" spans="1:23" x14ac:dyDescent="0.35">
      <c r="T124" s="197">
        <f>(Table_Trims[[#Totals],[2026_T1]]-Table_Trims[[#Totals],[2025_T1]])/Table_Trims[[#Totals],[2025_T1]]</f>
        <v>0.13372351230760154</v>
      </c>
    </row>
  </sheetData>
  <phoneticPr fontId="9" type="noConversion"/>
  <pageMargins left="0.7" right="0.7" top="0.75" bottom="0.75" header="0.3" footer="0.3"/>
  <headerFooter>
    <oddFooter>&amp;R_x000D_&amp;1#&amp;"Calibri"&amp;10&amp;K008000 Attijariwafa bank DIFFUSABLE</oddFoot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FA3D2-7EA5-4045-99AA-F73021436C21}">
  <dimension ref="A1:K112"/>
  <sheetViews>
    <sheetView zoomScale="97" workbookViewId="0">
      <pane xSplit="3" ySplit="1" topLeftCell="D2" activePane="bottomRight" state="frozen"/>
      <selection pane="topRight" activeCell="D1" sqref="D1"/>
      <selection pane="bottomLeft" activeCell="A2" sqref="A2"/>
      <selection pane="bottomRight" activeCell="L1" sqref="L1"/>
    </sheetView>
  </sheetViews>
  <sheetFormatPr baseColWidth="10" defaultRowHeight="14.5" x14ac:dyDescent="0.35"/>
  <cols>
    <col min="1" max="1" width="25.81640625" customWidth="1"/>
    <col min="2" max="2" width="11.7265625" customWidth="1"/>
    <col min="3" max="3" width="13.81640625" customWidth="1"/>
    <col min="4" max="4" width="12.81640625" customWidth="1"/>
    <col min="5" max="6" width="13" customWidth="1"/>
    <col min="7" max="7" width="14.1796875" customWidth="1"/>
    <col min="8" max="8" width="12.453125" customWidth="1"/>
    <col min="9" max="9" width="12.54296875" customWidth="1"/>
    <col min="10" max="10" width="12.81640625" customWidth="1"/>
    <col min="11" max="11" width="13.54296875" customWidth="1"/>
  </cols>
  <sheetData>
    <row r="1" spans="1:11" x14ac:dyDescent="0.35">
      <c r="A1" s="110" t="s">
        <v>0</v>
      </c>
      <c r="B1" s="110" t="s">
        <v>128</v>
      </c>
      <c r="C1" s="110" t="s">
        <v>129</v>
      </c>
      <c r="D1" s="86" t="s">
        <v>130</v>
      </c>
      <c r="E1" s="83" t="s">
        <v>131</v>
      </c>
      <c r="F1" s="74" t="s">
        <v>132</v>
      </c>
      <c r="G1" s="83" t="s">
        <v>133</v>
      </c>
      <c r="H1" s="74" t="s">
        <v>134</v>
      </c>
      <c r="I1" s="83" t="s">
        <v>135</v>
      </c>
      <c r="J1" s="74" t="s">
        <v>136</v>
      </c>
      <c r="K1" s="86" t="s">
        <v>137</v>
      </c>
    </row>
    <row r="2" spans="1:11" x14ac:dyDescent="0.35">
      <c r="A2" s="82" t="s">
        <v>40</v>
      </c>
      <c r="B2" s="76"/>
      <c r="C2" s="76"/>
      <c r="D2" s="77"/>
      <c r="E2" s="76"/>
      <c r="F2" s="76"/>
      <c r="G2" s="75"/>
      <c r="H2" s="76"/>
      <c r="I2" s="75"/>
      <c r="J2" s="76"/>
      <c r="K2" s="76"/>
    </row>
    <row r="3" spans="1:11" x14ac:dyDescent="0.35">
      <c r="A3" s="70" t="s">
        <v>1</v>
      </c>
      <c r="B3" s="71" t="s">
        <v>64</v>
      </c>
      <c r="C3" s="1" t="s">
        <v>57</v>
      </c>
      <c r="D3" s="6">
        <f>Trims!D3+Trims!E3</f>
        <v>3082</v>
      </c>
      <c r="E3" s="5">
        <f>Trims!F3+Trims!G3</f>
        <v>2321</v>
      </c>
      <c r="F3" s="6">
        <f>Trims!H3+Trims!I3</f>
        <v>3085</v>
      </c>
      <c r="G3" s="18">
        <f>Trims!J3+Trims!K3</f>
        <v>2027</v>
      </c>
      <c r="H3" s="6">
        <f>Trims!L3+Trims!M3</f>
        <v>3096</v>
      </c>
      <c r="I3" s="18">
        <f>Trims!N3+Trims!O3</f>
        <v>2164</v>
      </c>
      <c r="J3" s="6">
        <f>Trims!P3+Trims!Q3</f>
        <v>3663</v>
      </c>
      <c r="K3" s="161">
        <f>Table_Trims[[#This Row],[2025_T3]]+Table_Trims[[#This Row],[2025_T4]]</f>
        <v>2387</v>
      </c>
    </row>
    <row r="4" spans="1:11" x14ac:dyDescent="0.35">
      <c r="A4" s="3" t="s">
        <v>2</v>
      </c>
      <c r="B4" s="20" t="s">
        <v>65</v>
      </c>
      <c r="C4" s="1" t="s">
        <v>57</v>
      </c>
      <c r="D4" s="16">
        <f>Trims!D4+Trims!E4</f>
        <v>5893</v>
      </c>
      <c r="E4" s="18">
        <f>Trims!F4+Trims!G4</f>
        <v>5745</v>
      </c>
      <c r="F4" s="17">
        <f>Trims!H4+Trims!I4</f>
        <v>6533</v>
      </c>
      <c r="G4" s="18">
        <f>Trims!J4+Trims!K4</f>
        <v>6191</v>
      </c>
      <c r="H4" s="17">
        <f>Trims!L4+Trims!M4</f>
        <v>7100</v>
      </c>
      <c r="I4" s="18">
        <f>Trims!N4+Trims!O4</f>
        <v>5967</v>
      </c>
      <c r="J4" s="17">
        <f>Trims!P4+Trims!Q4</f>
        <v>7882</v>
      </c>
      <c r="K4" s="161">
        <f>Table_Trims[[#This Row],[2025_T3]]+Table_Trims[[#This Row],[2025_T4]]</f>
        <v>7344</v>
      </c>
    </row>
    <row r="5" spans="1:11" x14ac:dyDescent="0.35">
      <c r="A5" s="78" t="s">
        <v>41</v>
      </c>
      <c r="B5" s="90"/>
      <c r="C5" s="90"/>
      <c r="D5" s="91"/>
      <c r="E5" s="92"/>
      <c r="F5" s="91"/>
      <c r="G5" s="93"/>
      <c r="H5" s="91"/>
      <c r="I5" s="93"/>
      <c r="J5" s="91"/>
      <c r="K5" s="90"/>
    </row>
    <row r="6" spans="1:11" x14ac:dyDescent="0.35">
      <c r="A6" s="60" t="s">
        <v>3</v>
      </c>
      <c r="B6" s="59" t="s">
        <v>66</v>
      </c>
      <c r="C6" s="22" t="s">
        <v>57</v>
      </c>
      <c r="D6" s="87">
        <f>Trims!D8+Trims!E8</f>
        <v>13100</v>
      </c>
      <c r="E6" s="5">
        <f>Trims!F8+Trims!G8</f>
        <v>13213</v>
      </c>
      <c r="F6" s="4">
        <f>Trims!H8+Trims!I8</f>
        <v>14604</v>
      </c>
      <c r="G6" s="5">
        <f>Trims!J8+Trims!K8</f>
        <v>15339</v>
      </c>
      <c r="H6" s="4">
        <f>Trims!L8+Trims!M8</f>
        <v>17023</v>
      </c>
      <c r="I6" s="5">
        <f>Trims!N8+Trims!O8</f>
        <v>17484</v>
      </c>
      <c r="J6" s="4">
        <f>Trims!P8+Trims!Q8</f>
        <v>17696</v>
      </c>
      <c r="K6" s="4">
        <f>Trims!R8+Trims!S8</f>
        <v>17225</v>
      </c>
    </row>
    <row r="7" spans="1:11" x14ac:dyDescent="0.35">
      <c r="A7" s="60" t="s">
        <v>4</v>
      </c>
      <c r="B7" s="59" t="s">
        <v>67</v>
      </c>
      <c r="C7" s="22" t="s">
        <v>57</v>
      </c>
      <c r="D7" s="87">
        <f>Trims!D9+Trims!E9</f>
        <v>7700</v>
      </c>
      <c r="E7" s="5">
        <f>Trims!F9+Trims!G9</f>
        <v>7926</v>
      </c>
      <c r="F7" s="4">
        <f>Trims!H9+Trims!I9</f>
        <v>8405</v>
      </c>
      <c r="G7" s="5">
        <f>Trims!J9+Trims!K9</f>
        <v>8537</v>
      </c>
      <c r="H7" s="4">
        <f>Trims!L9+Trims!M9</f>
        <v>9620</v>
      </c>
      <c r="I7" s="5">
        <f>Trims!N9+Trims!O9</f>
        <v>9002</v>
      </c>
      <c r="J7" s="4">
        <f>Trims!P9+Trims!Q9</f>
        <v>10487</v>
      </c>
      <c r="K7" s="4">
        <f>Trims!R9+Trims!S9</f>
        <v>9861</v>
      </c>
    </row>
    <row r="8" spans="1:11" x14ac:dyDescent="0.35">
      <c r="A8" s="60" t="s">
        <v>5</v>
      </c>
      <c r="B8" s="59" t="s">
        <v>5</v>
      </c>
      <c r="C8" s="22" t="s">
        <v>57</v>
      </c>
      <c r="D8" s="16">
        <f>Trims!D10+Trims!E10</f>
        <v>10461</v>
      </c>
      <c r="E8" s="18">
        <f>Trims!F10+Trims!G10</f>
        <v>10148</v>
      </c>
      <c r="F8" s="17">
        <f>Trims!H10+Trims!I10</f>
        <v>11742</v>
      </c>
      <c r="G8" s="18">
        <f>Trims!J10+Trims!K10</f>
        <v>11053</v>
      </c>
      <c r="H8" s="17">
        <f>Trims!L10+Trims!M10</f>
        <v>12838</v>
      </c>
      <c r="I8" s="18">
        <f>Trims!N10+Trims!O10</f>
        <v>12763</v>
      </c>
      <c r="J8" s="17">
        <f>Trims!P10+Trims!Q10</f>
        <v>13912</v>
      </c>
      <c r="K8" s="4">
        <f>Trims!R10+Trims!S10</f>
        <v>13088</v>
      </c>
    </row>
    <row r="9" spans="1:11" x14ac:dyDescent="0.35">
      <c r="A9" s="60" t="s">
        <v>6</v>
      </c>
      <c r="B9" s="59" t="s">
        <v>68</v>
      </c>
      <c r="C9" s="22" t="s">
        <v>57</v>
      </c>
      <c r="D9" s="87">
        <f>Trims!D11+Trims!E11</f>
        <v>1520</v>
      </c>
      <c r="E9" s="5">
        <f>Trims!F11+Trims!G11</f>
        <v>1535</v>
      </c>
      <c r="F9" s="4">
        <f>Trims!H11+Trims!I11</f>
        <v>1694</v>
      </c>
      <c r="G9" s="5">
        <f>Trims!J11+Trims!K11</f>
        <v>1746</v>
      </c>
      <c r="H9" s="4">
        <f>Trims!L11+Trims!M11</f>
        <v>1890</v>
      </c>
      <c r="I9" s="5">
        <f>Trims!N11+Trims!O11</f>
        <v>1900</v>
      </c>
      <c r="J9" s="4">
        <f>Trims!P11+Trims!Q11</f>
        <v>1990</v>
      </c>
      <c r="K9" s="4">
        <f>Trims!R11+Trims!S11</f>
        <v>1950</v>
      </c>
    </row>
    <row r="10" spans="1:11" x14ac:dyDescent="0.35">
      <c r="A10" s="60" t="s">
        <v>7</v>
      </c>
      <c r="B10" s="59" t="s">
        <v>7</v>
      </c>
      <c r="C10" s="22" t="s">
        <v>57</v>
      </c>
      <c r="D10" s="87">
        <f>Trims!D12+Trims!E12</f>
        <v>1285</v>
      </c>
      <c r="E10" s="5">
        <f>Trims!F12+Trims!G12</f>
        <v>1284.0999999999999</v>
      </c>
      <c r="F10" s="4">
        <f>Trims!H12+Trims!I12</f>
        <v>1426</v>
      </c>
      <c r="G10" s="5">
        <f>Trims!J12+Trims!K12</f>
        <v>1474</v>
      </c>
      <c r="H10" s="4">
        <f>Trims!L12+Trims!M12</f>
        <v>1606</v>
      </c>
      <c r="I10" s="5">
        <f>Trims!N12+Trims!O12</f>
        <v>1694</v>
      </c>
      <c r="J10" s="4">
        <f>Trims!P12+Trims!Q12</f>
        <v>1775</v>
      </c>
      <c r="K10" s="4">
        <f>Trims!R12+Trims!S12</f>
        <v>1693</v>
      </c>
    </row>
    <row r="11" spans="1:11" x14ac:dyDescent="0.35">
      <c r="A11" s="60" t="s">
        <v>8</v>
      </c>
      <c r="B11" s="59" t="s">
        <v>69</v>
      </c>
      <c r="C11" s="12" t="s">
        <v>57</v>
      </c>
      <c r="D11" s="16">
        <f>Trims!D13+Trims!E13</f>
        <v>229</v>
      </c>
      <c r="E11" s="18">
        <f>Trims!F13+Trims!G13</f>
        <v>271</v>
      </c>
      <c r="F11" s="16">
        <f>Trims!H13+Trims!I13</f>
        <v>309</v>
      </c>
      <c r="G11" s="18">
        <f>Trims!J13+Trims!K13</f>
        <v>348</v>
      </c>
      <c r="H11" s="17">
        <f>Trims!L13+Trims!M13</f>
        <v>424</v>
      </c>
      <c r="I11" s="18">
        <f>Trims!N13+Trims!O13</f>
        <v>517</v>
      </c>
      <c r="J11" s="17">
        <f>Trims!P13+Trims!Q13</f>
        <v>600</v>
      </c>
      <c r="K11" s="17">
        <f>Trims!R13+Trims!S13</f>
        <v>647</v>
      </c>
    </row>
    <row r="12" spans="1:11" x14ac:dyDescent="0.35">
      <c r="A12" s="60" t="s">
        <v>9</v>
      </c>
      <c r="B12" s="21" t="s">
        <v>70</v>
      </c>
      <c r="C12" s="12" t="s">
        <v>57</v>
      </c>
      <c r="D12" s="6">
        <f>Trims!D14+Trims!E14</f>
        <v>1624.3</v>
      </c>
      <c r="E12" s="7">
        <f>Trims!F14+Trims!G14</f>
        <v>1893.6999999999998</v>
      </c>
      <c r="F12" s="6">
        <f>Trims!H14+Trims!I14</f>
        <v>2218.9</v>
      </c>
      <c r="G12" s="7">
        <f>Trims!J14+Trims!K14</f>
        <v>2249</v>
      </c>
      <c r="H12" s="6">
        <f>Trims!L14+Trims!M14</f>
        <v>2332.6999999999998</v>
      </c>
      <c r="I12" s="7">
        <f>Trims!N14+Trims!O14</f>
        <v>2406.3000000000002</v>
      </c>
      <c r="J12" s="6">
        <f>Trims!P14+Trims!Q14</f>
        <v>2748</v>
      </c>
      <c r="K12" s="155">
        <f>Table_Trims[[#This Row],[2025_T3]]+Table_Trims[[#This Row],[2025_T4]]</f>
        <v>1693</v>
      </c>
    </row>
    <row r="13" spans="1:11" x14ac:dyDescent="0.35">
      <c r="A13" s="80" t="s">
        <v>42</v>
      </c>
      <c r="B13" s="76"/>
      <c r="C13" s="76"/>
      <c r="D13" s="76"/>
      <c r="E13" s="76"/>
      <c r="F13" s="89"/>
      <c r="G13" s="89"/>
      <c r="H13" s="89"/>
      <c r="I13" s="89"/>
      <c r="J13" s="89"/>
      <c r="K13" s="76"/>
    </row>
    <row r="14" spans="1:11" x14ac:dyDescent="0.35">
      <c r="A14" s="60" t="s">
        <v>10</v>
      </c>
      <c r="B14" s="59" t="s">
        <v>71</v>
      </c>
      <c r="C14" s="10" t="s">
        <v>57</v>
      </c>
      <c r="D14" s="16">
        <f>Trims!D16+Trims!E16</f>
        <v>307</v>
      </c>
      <c r="E14" s="18">
        <f>Trims!F16+Trims!G16</f>
        <v>274</v>
      </c>
      <c r="F14" s="17">
        <f>Trims!H16+Trims!I16</f>
        <v>293</v>
      </c>
      <c r="G14" s="18">
        <f>Trims!J16+Trims!K16</f>
        <v>254</v>
      </c>
      <c r="H14" s="17">
        <f>Trims!L16+Trims!M16</f>
        <v>282</v>
      </c>
      <c r="I14" s="18">
        <f>Trims!N16+Trims!O16</f>
        <v>261</v>
      </c>
      <c r="J14" s="17">
        <f>Trims!P16+Trims!Q16</f>
        <v>306</v>
      </c>
      <c r="K14" s="161">
        <f>Table_Trims[[#This Row],[2025_T3]]+Table_Trims[[#This Row],[2025_T4]]</f>
        <v>2674.8</v>
      </c>
    </row>
    <row r="15" spans="1:11" x14ac:dyDescent="0.35">
      <c r="A15" s="60" t="s">
        <v>11</v>
      </c>
      <c r="B15" s="21" t="s">
        <v>72</v>
      </c>
      <c r="C15" s="22" t="s">
        <v>57</v>
      </c>
      <c r="D15" s="24">
        <f>Trims!D17+Trims!E17</f>
        <v>195.292</v>
      </c>
      <c r="E15" s="9">
        <f>Trims!F17+Trims!G17</f>
        <v>204.001</v>
      </c>
      <c r="F15" s="8">
        <f>Trims!H17+Trims!I17</f>
        <v>192.5</v>
      </c>
      <c r="G15" s="9">
        <f>Trims!J17+Trims!K17</f>
        <v>203.959</v>
      </c>
      <c r="H15" s="8">
        <f>Trims!L17+Trims!M17</f>
        <v>185.85000000000002</v>
      </c>
      <c r="I15" s="9">
        <f>Trims!N17+Trims!O17</f>
        <v>192.79500000000002</v>
      </c>
      <c r="J15" s="8">
        <f>Trims!P17+Trims!Q17</f>
        <v>191</v>
      </c>
      <c r="K15" s="161">
        <f>Table_Trims[[#This Row],[2025_T3]]+Table_Trims[[#This Row],[2025_T4]]</f>
        <v>0</v>
      </c>
    </row>
    <row r="16" spans="1:11" x14ac:dyDescent="0.35">
      <c r="A16" s="26" t="s">
        <v>99</v>
      </c>
      <c r="B16" s="21" t="s">
        <v>102</v>
      </c>
      <c r="C16" s="22" t="s">
        <v>57</v>
      </c>
      <c r="D16" s="34"/>
      <c r="E16" s="35"/>
      <c r="F16" s="34"/>
      <c r="G16" s="35"/>
      <c r="H16" s="34"/>
      <c r="I16" s="35"/>
      <c r="J16" s="8">
        <f>Trims!P18+Trims!Q18</f>
        <v>212</v>
      </c>
      <c r="K16" s="84"/>
    </row>
    <row r="17" spans="1:11" x14ac:dyDescent="0.35">
      <c r="A17" s="80" t="s">
        <v>43</v>
      </c>
      <c r="B17" s="90"/>
      <c r="C17" s="90"/>
      <c r="D17" s="91"/>
      <c r="E17" s="92"/>
      <c r="F17" s="92"/>
      <c r="G17" s="92"/>
      <c r="H17" s="92"/>
      <c r="I17" s="92"/>
      <c r="J17" s="92"/>
      <c r="K17" s="90"/>
    </row>
    <row r="18" spans="1:11" x14ac:dyDescent="0.35">
      <c r="A18" s="60" t="s">
        <v>12</v>
      </c>
      <c r="B18" s="59" t="s">
        <v>73</v>
      </c>
      <c r="C18" s="10" t="s">
        <v>57</v>
      </c>
      <c r="D18" s="87">
        <f>Trims!D20+Trims!E20</f>
        <v>5076</v>
      </c>
      <c r="E18" s="5">
        <f>Trims!F20+Trims!G20</f>
        <v>5357</v>
      </c>
      <c r="F18" s="4">
        <f>Trims!H20+Trims!I20</f>
        <v>4958</v>
      </c>
      <c r="G18" s="5">
        <f>Trims!J20+Trims!K20</f>
        <v>5275</v>
      </c>
      <c r="H18" s="4">
        <f>Trims!L20+Trims!M20</f>
        <v>4983</v>
      </c>
      <c r="I18" s="5">
        <f>Trims!N20+Trims!O20</f>
        <v>5255</v>
      </c>
      <c r="J18" s="4">
        <f>Trims!P20+Trims!Q20</f>
        <v>5362</v>
      </c>
      <c r="K18" s="145">
        <f>Table_Trims[[#This Row],[2025_T3]]+Table_Trims[[#This Row],[2025_T4]]</f>
        <v>222</v>
      </c>
    </row>
    <row r="19" spans="1:11" x14ac:dyDescent="0.35">
      <c r="A19" s="60" t="s">
        <v>12</v>
      </c>
      <c r="B19" s="59" t="s">
        <v>73</v>
      </c>
      <c r="C19" s="11" t="s">
        <v>58</v>
      </c>
      <c r="D19" s="6">
        <f>Trims!D21+Trims!E21</f>
        <v>165</v>
      </c>
      <c r="E19" s="7">
        <f>Trims!F21+Trims!G21</f>
        <v>118</v>
      </c>
      <c r="F19" s="6">
        <f>Trims!H21+Trims!I21</f>
        <v>104</v>
      </c>
      <c r="G19" s="7">
        <f>Trims!J21+Trims!K21</f>
        <v>138</v>
      </c>
      <c r="H19" s="6">
        <f>Trims!L21+Trims!M21</f>
        <v>88</v>
      </c>
      <c r="I19" s="7">
        <f>Trims!N21+Trims!O21</f>
        <v>112</v>
      </c>
      <c r="J19" s="6">
        <f>Trims!P21+Trims!Q21</f>
        <v>92</v>
      </c>
      <c r="K19" s="145">
        <f>Table_Trims[[#This Row],[2025_T3]]+Table_Trims[[#This Row],[2025_T4]]</f>
        <v>0</v>
      </c>
    </row>
    <row r="20" spans="1:11" x14ac:dyDescent="0.35">
      <c r="A20" s="60" t="s">
        <v>12</v>
      </c>
      <c r="B20" s="59" t="s">
        <v>73</v>
      </c>
      <c r="C20" s="12" t="s">
        <v>59</v>
      </c>
      <c r="D20" s="148">
        <f>Table_Trims[[#This Row],[2022_T2]]</f>
        <v>2590</v>
      </c>
      <c r="E20" s="148">
        <f>Table_Trims[[#This Row],[2022_T4]]</f>
        <v>2534</v>
      </c>
      <c r="F20" s="148">
        <f>Table_Trims[[#This Row],[2023_T2]]</f>
        <v>2446</v>
      </c>
      <c r="G20" s="148">
        <f>Table_Trims[[#This Row],[2023_T4]]</f>
        <v>2575</v>
      </c>
      <c r="H20" s="148">
        <f>Table_Trims[[#This Row],[2024_T2]]</f>
        <v>2544</v>
      </c>
      <c r="I20" s="153">
        <f>Table_Trims[[#This Row],[2024_T4]]</f>
        <v>2489</v>
      </c>
      <c r="J20" s="148">
        <f>Table_Trims[[#This Row],[2025_T2]]</f>
        <v>2695</v>
      </c>
      <c r="K20" s="156">
        <f>Table_Trims[[#This Row],[2025_T4]]</f>
        <v>2450</v>
      </c>
    </row>
    <row r="21" spans="1:11" x14ac:dyDescent="0.35">
      <c r="A21" s="60" t="s">
        <v>13</v>
      </c>
      <c r="B21" s="59" t="s">
        <v>74</v>
      </c>
      <c r="C21" s="11" t="s">
        <v>57</v>
      </c>
      <c r="D21" s="87">
        <f>Trims!D23+Trims!E23</f>
        <v>3598</v>
      </c>
      <c r="E21" s="5">
        <f>Trims!F23+Trims!G23</f>
        <v>3291</v>
      </c>
      <c r="F21" s="4">
        <f>Trims!H23+Trims!I23</f>
        <v>3039</v>
      </c>
      <c r="G21" s="5">
        <f>Trims!J23+Trims!K23</f>
        <v>2895</v>
      </c>
      <c r="H21" s="4">
        <f>Trims!L23+Trims!M23</f>
        <v>2711</v>
      </c>
      <c r="I21" s="5">
        <f>Trims!N23+Trims!O23</f>
        <v>2417</v>
      </c>
      <c r="J21" s="4">
        <f>Trims!P23+Trims!Q23</f>
        <v>2824</v>
      </c>
      <c r="K21" s="145">
        <f>Table_Trims[[#This Row],[2025_T3]]+Table_Trims[[#This Row],[2025_T4]]</f>
        <v>153</v>
      </c>
    </row>
    <row r="22" spans="1:11" x14ac:dyDescent="0.35">
      <c r="A22" s="60" t="s">
        <v>13</v>
      </c>
      <c r="B22" s="59" t="s">
        <v>74</v>
      </c>
      <c r="C22" s="11" t="s">
        <v>58</v>
      </c>
      <c r="D22" s="6">
        <f>Trims!D24+Trims!E24</f>
        <v>57</v>
      </c>
      <c r="E22" s="7">
        <f>Trims!F24+Trims!G24</f>
        <v>109</v>
      </c>
      <c r="F22" s="6">
        <f>Trims!H24+Trims!I24</f>
        <v>34</v>
      </c>
      <c r="G22" s="7">
        <f>Trims!J24+Trims!K24</f>
        <v>84</v>
      </c>
      <c r="H22" s="6">
        <f>Trims!L24+Trims!M24</f>
        <v>100</v>
      </c>
      <c r="I22" s="7">
        <f>Trims!N24+Trims!O24</f>
        <v>59</v>
      </c>
      <c r="J22" s="6">
        <f>Trims!P24+Trims!Q24</f>
        <v>19</v>
      </c>
      <c r="K22" s="145">
        <f>Table_Trims[[#This Row],[2025_T3]]+Table_Trims[[#This Row],[2025_T4]]</f>
        <v>1907</v>
      </c>
    </row>
    <row r="23" spans="1:11" x14ac:dyDescent="0.35">
      <c r="A23" s="60" t="s">
        <v>13</v>
      </c>
      <c r="B23" s="59" t="s">
        <v>74</v>
      </c>
      <c r="C23" s="12" t="s">
        <v>59</v>
      </c>
      <c r="D23" s="148">
        <f>Table_Trims[[#This Row],[2022_T2]]</f>
        <v>1954</v>
      </c>
      <c r="E23" s="148">
        <f>Table_Trims[[#This Row],[2022_T4]]</f>
        <v>1650</v>
      </c>
      <c r="F23" s="148">
        <f>Table_Trims[[#This Row],[2023_T2]]</f>
        <v>1212</v>
      </c>
      <c r="G23" s="148">
        <f>Table_Trims[[#This Row],[2023_T4]]</f>
        <v>1385</v>
      </c>
      <c r="H23" s="148">
        <f>Table_Trims[[#This Row],[2024_T2]]</f>
        <v>1205</v>
      </c>
      <c r="I23" s="153">
        <f>Table_Trims[[#This Row],[2024_T4]]</f>
        <v>1381</v>
      </c>
      <c r="J23" s="148">
        <f>Table_Trims[[#This Row],[2025_T2]]</f>
        <v>1168</v>
      </c>
      <c r="K23" s="157">
        <f>Table_Trims[[#This Row],[2025_T4]]</f>
        <v>1216</v>
      </c>
    </row>
    <row r="24" spans="1:11" x14ac:dyDescent="0.35">
      <c r="A24" s="60" t="s">
        <v>14</v>
      </c>
      <c r="B24" s="59" t="s">
        <v>75</v>
      </c>
      <c r="C24" s="11" t="s">
        <v>57</v>
      </c>
      <c r="D24" s="87">
        <f>Trims!D26+Trims!E26</f>
        <v>1021</v>
      </c>
      <c r="E24" s="5">
        <f>Trims!F26+Trims!G26</f>
        <v>1308</v>
      </c>
      <c r="F24" s="4">
        <f>Trims!H26+Trims!I26</f>
        <v>1100</v>
      </c>
      <c r="G24" s="5">
        <f>Trims!J26+Trims!K26</f>
        <v>1397</v>
      </c>
      <c r="H24" s="4">
        <f>Trims!L26+Trims!M26</f>
        <v>965</v>
      </c>
      <c r="I24" s="5">
        <f>Trims!N26+Trims!O26</f>
        <v>1151</v>
      </c>
      <c r="J24" s="4">
        <f>Trims!P26+Trims!Q26</f>
        <v>902</v>
      </c>
      <c r="K24" s="145">
        <f>Table_Trims[[#This Row],[2025_T3]]+Table_Trims[[#This Row],[2025_T4]]</f>
        <v>42</v>
      </c>
    </row>
    <row r="25" spans="1:11" x14ac:dyDescent="0.35">
      <c r="A25" s="60" t="s">
        <v>14</v>
      </c>
      <c r="B25" s="59" t="s">
        <v>75</v>
      </c>
      <c r="C25" s="11" t="s">
        <v>58</v>
      </c>
      <c r="D25" s="6">
        <f>Trims!D27+Trims!E27</f>
        <v>106</v>
      </c>
      <c r="E25" s="7">
        <f>Trims!F27+Trims!G27</f>
        <v>112</v>
      </c>
      <c r="F25" s="6">
        <f>Trims!H27+Trims!I27</f>
        <v>101</v>
      </c>
      <c r="G25" s="7">
        <f>Trims!J27+Trims!K27</f>
        <v>428</v>
      </c>
      <c r="H25" s="6">
        <f>Trims!L27+Trims!M27</f>
        <v>124</v>
      </c>
      <c r="I25" s="7">
        <f>Trims!N27+Trims!O27</f>
        <v>137</v>
      </c>
      <c r="J25" s="6">
        <f>Trims!P27+Trims!Q27</f>
        <v>63</v>
      </c>
      <c r="K25" s="145">
        <f>Table_Trims[[#This Row],[2025_T3]]+Table_Trims[[#This Row],[2025_T4]]</f>
        <v>255</v>
      </c>
    </row>
    <row r="26" spans="1:11" x14ac:dyDescent="0.35">
      <c r="A26" s="60" t="s">
        <v>14</v>
      </c>
      <c r="B26" s="59" t="s">
        <v>75</v>
      </c>
      <c r="C26" s="12" t="s">
        <v>59</v>
      </c>
      <c r="D26" s="148">
        <f>Table_Trims[[#This Row],[2022_T2]]</f>
        <v>599</v>
      </c>
      <c r="E26" s="154">
        <f>Table_Trims[[#This Row],[2022_T4]]</f>
        <v>600</v>
      </c>
      <c r="F26" s="148">
        <f>Table_Trims[[#This Row],[2023_T2]]</f>
        <v>582</v>
      </c>
      <c r="G26" s="154">
        <f>Table_Trims[[#This Row],[2023_T4]]</f>
        <v>694</v>
      </c>
      <c r="H26" s="148">
        <f>Table_Trims[[#This Row],[2024_T2]]</f>
        <v>495</v>
      </c>
      <c r="I26" s="153">
        <f>Table_Trims[[#This Row],[2024_T4]]</f>
        <v>514</v>
      </c>
      <c r="J26" s="148">
        <f>Table_Trims[[#This Row],[2025_T2]]</f>
        <v>450</v>
      </c>
      <c r="K26" s="157">
        <f>Table_Trims[[#This Row],[2025_T4]]</f>
        <v>528</v>
      </c>
    </row>
    <row r="27" spans="1:11" ht="29" x14ac:dyDescent="0.35">
      <c r="A27" s="66" t="s">
        <v>15</v>
      </c>
      <c r="B27" s="59" t="s">
        <v>76</v>
      </c>
      <c r="C27" s="11" t="s">
        <v>57</v>
      </c>
      <c r="D27" s="87">
        <f>Trims!D29+Trims!E29</f>
        <v>1098</v>
      </c>
      <c r="E27" s="5">
        <f>Trims!F29+Trims!G29</f>
        <v>1815</v>
      </c>
      <c r="F27" s="4">
        <f>Trims!H29+Trims!I29</f>
        <v>1213</v>
      </c>
      <c r="G27" s="5">
        <f>Trims!J29+Trims!K29</f>
        <v>1718</v>
      </c>
      <c r="H27" s="4">
        <f>Trims!L29+Trims!M29</f>
        <v>1117.5</v>
      </c>
      <c r="I27" s="5">
        <f>Trims!N29+Trims!O29</f>
        <v>1744</v>
      </c>
      <c r="J27" s="4">
        <f>Trims!P29+Trims!Q29</f>
        <v>1181.3</v>
      </c>
      <c r="K27" s="145">
        <f>Table_Trims[[#This Row],[2025_T3]]+Table_Trims[[#This Row],[2025_T4]]</f>
        <v>25</v>
      </c>
    </row>
    <row r="28" spans="1:11" ht="29" x14ac:dyDescent="0.35">
      <c r="A28" s="66" t="s">
        <v>15</v>
      </c>
      <c r="B28" s="59" t="s">
        <v>76</v>
      </c>
      <c r="C28" s="11" t="s">
        <v>58</v>
      </c>
      <c r="D28" s="6">
        <f>Trims!D30+Trims!E30</f>
        <v>17</v>
      </c>
      <c r="E28" s="7">
        <f>Trims!F30+Trims!G30</f>
        <v>51</v>
      </c>
      <c r="F28" s="6">
        <f>Trims!H30+Trims!I30</f>
        <v>96.7</v>
      </c>
      <c r="G28" s="7">
        <f>Trims!J30+Trims!K30</f>
        <v>98</v>
      </c>
      <c r="H28" s="6">
        <f>Trims!L30+Trims!M30</f>
        <v>52.9</v>
      </c>
      <c r="I28" s="7">
        <f>Trims!N30+Trims!O30</f>
        <v>61</v>
      </c>
      <c r="J28" s="6">
        <f>Trims!P30+Trims!Q30</f>
        <v>49.7</v>
      </c>
      <c r="K28" s="145">
        <f>Table_Trims[[#This Row],[2025_T3]]+Table_Trims[[#This Row],[2025_T4]]</f>
        <v>1713</v>
      </c>
    </row>
    <row r="29" spans="1:11" ht="29" x14ac:dyDescent="0.35">
      <c r="A29" s="66" t="s">
        <v>15</v>
      </c>
      <c r="B29" s="59" t="s">
        <v>76</v>
      </c>
      <c r="C29" s="12" t="s">
        <v>59</v>
      </c>
      <c r="D29" s="149">
        <f>Table_Trims[[#This Row],[2022_T2]]</f>
        <v>602</v>
      </c>
      <c r="E29" s="154">
        <f>Table_Trims[[#This Row],[2022_T4]]</f>
        <v>820</v>
      </c>
      <c r="F29" s="149">
        <f>Table_Trims[[#This Row],[2023_T2]]</f>
        <v>747</v>
      </c>
      <c r="G29" s="154">
        <f>Table_Trims[[#This Row],[2023_T4]]</f>
        <v>745</v>
      </c>
      <c r="H29" s="149">
        <f>Table_Trims[[#This Row],[2024_T2]]</f>
        <v>756</v>
      </c>
      <c r="I29" s="154">
        <f>Table_Trims[[#This Row],[2024_T4]]</f>
        <v>826</v>
      </c>
      <c r="J29" s="149">
        <f>Table_Trims[[#This Row],[2025_T2]]</f>
        <v>830</v>
      </c>
      <c r="K29" s="159">
        <f>Table_Trims[[#This Row],[2025_T4]]</f>
        <v>930</v>
      </c>
    </row>
    <row r="30" spans="1:11" x14ac:dyDescent="0.35">
      <c r="A30" s="80" t="s">
        <v>44</v>
      </c>
      <c r="B30" s="90"/>
      <c r="C30" s="90"/>
      <c r="D30" s="92"/>
      <c r="E30" s="92"/>
      <c r="F30" s="92"/>
      <c r="G30" s="92"/>
      <c r="H30" s="92"/>
      <c r="I30" s="92"/>
      <c r="J30" s="92"/>
      <c r="K30" s="90"/>
    </row>
    <row r="31" spans="1:11" x14ac:dyDescent="0.35">
      <c r="A31" s="60" t="s">
        <v>16</v>
      </c>
      <c r="B31" s="59" t="s">
        <v>77</v>
      </c>
      <c r="C31" s="10" t="s">
        <v>57</v>
      </c>
      <c r="D31" s="87">
        <f>Trims!D33+Trims!E33</f>
        <v>870.01</v>
      </c>
      <c r="E31" s="5">
        <f>Trims!F33+Trims!G33</f>
        <v>843.8</v>
      </c>
      <c r="F31" s="4">
        <f>Trims!H33+Trims!I33</f>
        <v>1034.7199999999998</v>
      </c>
      <c r="G31" s="5">
        <f>Trims!J33+Trims!K33</f>
        <v>1284.99</v>
      </c>
      <c r="H31" s="4">
        <f>Trims!L33+Trims!M33</f>
        <v>1452.3200000000002</v>
      </c>
      <c r="I31" s="5">
        <f>Trims!N33+Trims!O33</f>
        <v>1221.1300000000001</v>
      </c>
      <c r="J31" s="4">
        <f>Trims!P33+Trims!Q33</f>
        <v>1523.12</v>
      </c>
      <c r="K31" s="145">
        <f>Table_Trims[[#This Row],[2025_T3]]+Table_Trims[[#This Row],[2025_T4]]</f>
        <v>-1039</v>
      </c>
    </row>
    <row r="32" spans="1:11" x14ac:dyDescent="0.35">
      <c r="A32" s="60" t="s">
        <v>16</v>
      </c>
      <c r="B32" s="59" t="s">
        <v>77</v>
      </c>
      <c r="C32" s="11" t="s">
        <v>58</v>
      </c>
      <c r="D32" s="6">
        <f>Trims!D34+Trims!E34</f>
        <v>10.030000000000001</v>
      </c>
      <c r="E32" s="7">
        <f>Trims!F34+Trims!G34</f>
        <v>57.03</v>
      </c>
      <c r="F32" s="6">
        <f>Trims!H34+Trims!I34</f>
        <v>25.270000000000003</v>
      </c>
      <c r="G32" s="7">
        <f>Trims!J34+Trims!K34</f>
        <v>10.239999999999998</v>
      </c>
      <c r="H32" s="6">
        <f>Trims!L34+Trims!M34</f>
        <v>38.409999999999997</v>
      </c>
      <c r="I32" s="7">
        <f>Trims!N34+Trims!O34</f>
        <v>32.479999999999997</v>
      </c>
      <c r="J32" s="6">
        <f>Trims!P34+Trims!Q34</f>
        <v>37.46</v>
      </c>
      <c r="K32" s="145">
        <f>Table_Trims[[#This Row],[2025_T3]]+Table_Trims[[#This Row],[2025_T4]]</f>
        <v>0</v>
      </c>
    </row>
    <row r="33" spans="1:11" x14ac:dyDescent="0.35">
      <c r="A33" s="60" t="s">
        <v>16</v>
      </c>
      <c r="B33" s="59" t="s">
        <v>77</v>
      </c>
      <c r="C33" s="12" t="s">
        <v>59</v>
      </c>
      <c r="D33" s="148">
        <f>Table_Trims[[#This Row],[2022_T2]]</f>
        <v>527.14</v>
      </c>
      <c r="E33" s="148">
        <f>Table_Trims[[#This Row],[2022_T4]]</f>
        <v>559</v>
      </c>
      <c r="F33" s="148">
        <f>Table_Trims[[#This Row],[2023_T2]]</f>
        <v>514.05999999999995</v>
      </c>
      <c r="G33" s="148">
        <f>Table_Trims[[#This Row],[2023_T4]]</f>
        <v>902.1</v>
      </c>
      <c r="H33" s="148">
        <f>Table_Trims[[#This Row],[2024_T2]]</f>
        <v>849</v>
      </c>
      <c r="I33" s="153">
        <f>Table_Trims[[#This Row],[2024_T4]]</f>
        <v>838.24</v>
      </c>
      <c r="J33" s="148">
        <f>Table_Trims[[#This Row],[2025_T2]]</f>
        <v>788.61</v>
      </c>
      <c r="K33" s="156">
        <f>Table_Trims[[#This Row],[2025_T4]]</f>
        <v>1343</v>
      </c>
    </row>
    <row r="34" spans="1:11" x14ac:dyDescent="0.35">
      <c r="A34" s="60" t="s">
        <v>17</v>
      </c>
      <c r="B34" s="59" t="s">
        <v>78</v>
      </c>
      <c r="C34" s="11" t="s">
        <v>57</v>
      </c>
      <c r="D34" s="87">
        <f>Trims!D36+Trims!E36</f>
        <v>4004</v>
      </c>
      <c r="E34" s="5">
        <f>Trims!F36+Trims!G36</f>
        <v>3980</v>
      </c>
      <c r="F34" s="4">
        <f>Trims!H36+Trims!I36</f>
        <v>4130</v>
      </c>
      <c r="G34" s="5">
        <f>Trims!J36+Trims!K36</f>
        <v>4082</v>
      </c>
      <c r="H34" s="4">
        <f>Trims!L36+Trims!M36</f>
        <v>3691</v>
      </c>
      <c r="I34" s="5">
        <f>Trims!N36+Trims!O36</f>
        <v>4464</v>
      </c>
      <c r="J34" s="4">
        <f>Trims!P36+Trims!Q36</f>
        <v>4159</v>
      </c>
      <c r="K34" s="145">
        <f>Table_Trims[[#This Row],[2025_T3]]+Table_Trims[[#This Row],[2025_T4]]</f>
        <v>373.34000000000003</v>
      </c>
    </row>
    <row r="35" spans="1:11" x14ac:dyDescent="0.35">
      <c r="A35" s="60" t="s">
        <v>17</v>
      </c>
      <c r="B35" s="59" t="s">
        <v>78</v>
      </c>
      <c r="C35" s="12" t="s">
        <v>59</v>
      </c>
      <c r="D35" s="148">
        <f>Table_Trims[[#This Row],[2022_T2]]</f>
        <v>1078.43</v>
      </c>
      <c r="E35" s="148">
        <f>Table_Trims[[#This Row],[2022_T4]]</f>
        <v>843.93</v>
      </c>
      <c r="F35" s="148">
        <f>Table_Trims[[#This Row],[2023_T2]]</f>
        <v>1169.48</v>
      </c>
      <c r="G35" s="148">
        <f>Table_Trims[[#This Row],[2023_T4]]</f>
        <v>1015.9</v>
      </c>
      <c r="H35" s="148">
        <f>Table_Trims[[#This Row],[2024_T2]]</f>
        <v>973.61</v>
      </c>
      <c r="I35" s="153">
        <f>Table_Trims[[#This Row],[2024_T4]]</f>
        <v>1001.67</v>
      </c>
      <c r="J35" s="148">
        <f>Table_Trims[[#This Row],[2025_T2]]</f>
        <v>1555.69</v>
      </c>
      <c r="K35" s="156">
        <f>Table_Trims[[#This Row],[2025_T4]]</f>
        <v>1640</v>
      </c>
    </row>
    <row r="36" spans="1:11" x14ac:dyDescent="0.35">
      <c r="A36" s="60" t="s">
        <v>18</v>
      </c>
      <c r="B36" s="59" t="s">
        <v>79</v>
      </c>
      <c r="C36" s="11" t="s">
        <v>57</v>
      </c>
      <c r="D36" s="87">
        <f>Trims!D38+Trims!E38</f>
        <v>2452</v>
      </c>
      <c r="E36" s="5">
        <f>Trims!F38+Trims!G38</f>
        <v>2436</v>
      </c>
      <c r="F36" s="4">
        <f>Trims!H38+Trims!I38</f>
        <v>2543</v>
      </c>
      <c r="G36" s="5">
        <f>Trims!J38+Trims!K38</f>
        <v>2452</v>
      </c>
      <c r="H36" s="4">
        <f>Trims!L38+Trims!M38</f>
        <v>2437</v>
      </c>
      <c r="I36" s="5">
        <f>Trims!N38+Trims!O38</f>
        <v>3057</v>
      </c>
      <c r="J36" s="4">
        <f>Trims!P38+Trims!Q38</f>
        <v>3054</v>
      </c>
      <c r="K36" s="145">
        <f>Table_Trims[[#This Row],[2025_T3]]+Table_Trims[[#This Row],[2025_T4]]</f>
        <v>4721</v>
      </c>
    </row>
    <row r="37" spans="1:11" x14ac:dyDescent="0.35">
      <c r="A37" s="60" t="s">
        <v>18</v>
      </c>
      <c r="B37" s="59" t="s">
        <v>79</v>
      </c>
      <c r="C37" s="11" t="s">
        <v>58</v>
      </c>
      <c r="D37" s="6">
        <f>Trims!D39+Trims!E39</f>
        <v>22</v>
      </c>
      <c r="E37" s="7">
        <f>Trims!F39+Trims!G39</f>
        <v>120</v>
      </c>
      <c r="F37" s="6">
        <f>Trims!H39+Trims!I39</f>
        <v>73</v>
      </c>
      <c r="G37" s="7">
        <f>Trims!J39+Trims!K39</f>
        <v>146</v>
      </c>
      <c r="H37" s="6">
        <f>Trims!L39+Trims!M39</f>
        <v>74</v>
      </c>
      <c r="I37" s="7">
        <f>Trims!N39+Trims!O39</f>
        <v>123</v>
      </c>
      <c r="J37" s="6">
        <f>Trims!P39+Trims!Q39</f>
        <v>100</v>
      </c>
      <c r="K37" s="145">
        <f>Table_Trims[[#This Row],[2025_T3]]+Table_Trims[[#This Row],[2025_T4]]</f>
        <v>8038</v>
      </c>
    </row>
    <row r="38" spans="1:11" x14ac:dyDescent="0.35">
      <c r="A38" s="60" t="s">
        <v>18</v>
      </c>
      <c r="B38" s="59" t="s">
        <v>79</v>
      </c>
      <c r="C38" s="12" t="s">
        <v>59</v>
      </c>
      <c r="D38" s="148">
        <f>Table_Trims[[#This Row],[2022_T2]]</f>
        <v>1107</v>
      </c>
      <c r="E38" s="148">
        <f>Table_Trims[[#This Row],[2022_T4]]</f>
        <v>1240</v>
      </c>
      <c r="F38" s="148">
        <f>Table_Trims[[#This Row],[2023_T2]]</f>
        <v>1200</v>
      </c>
      <c r="G38" s="148">
        <f>Table_Trims[[#This Row],[2023_T4]]</f>
        <v>1326</v>
      </c>
      <c r="H38" s="148">
        <f>Table_Trims[[#This Row],[2024_T2]]</f>
        <v>1188</v>
      </c>
      <c r="I38" s="153">
        <f>Table_Trims[[#This Row],[2024_T4]]</f>
        <v>1692</v>
      </c>
      <c r="J38" s="148">
        <f>Table_Trims[[#This Row],[2025_T2]]</f>
        <v>1503</v>
      </c>
      <c r="K38" s="156">
        <f>Table_Trims[[#This Row],[2025_T4]]</f>
        <v>1854</v>
      </c>
    </row>
    <row r="39" spans="1:11" x14ac:dyDescent="0.35">
      <c r="A39" s="60" t="s">
        <v>19</v>
      </c>
      <c r="B39" s="59" t="s">
        <v>80</v>
      </c>
      <c r="C39" s="11" t="s">
        <v>57</v>
      </c>
      <c r="D39" s="87">
        <f>Trims!D41+Trims!E41</f>
        <v>2249.9</v>
      </c>
      <c r="E39" s="5">
        <f>Trims!F41+Trims!G41</f>
        <v>2811.5</v>
      </c>
      <c r="F39" s="4">
        <f>Trims!H41+Trims!I41</f>
        <v>2912.8</v>
      </c>
      <c r="G39" s="5">
        <f>Trims!J41+Trims!K41</f>
        <v>4191.7</v>
      </c>
      <c r="H39" s="4">
        <f>Trims!L41+Trims!M41</f>
        <v>3786.3999999999996</v>
      </c>
      <c r="I39" s="5">
        <f>Trims!N41+Trims!O41</f>
        <v>4260.6000000000004</v>
      </c>
      <c r="J39" s="4">
        <f>Trims!P41+Trims!Q41</f>
        <v>4969.1000000000004</v>
      </c>
      <c r="K39" s="145">
        <f>Table_Trims[[#This Row],[2025_T3]]+Table_Trims[[#This Row],[2025_T4]]</f>
        <v>177</v>
      </c>
    </row>
    <row r="40" spans="1:11" x14ac:dyDescent="0.35">
      <c r="A40" s="60" t="s">
        <v>19</v>
      </c>
      <c r="B40" s="59" t="s">
        <v>80</v>
      </c>
      <c r="C40" s="11" t="s">
        <v>58</v>
      </c>
      <c r="D40" s="6">
        <f>Trims!D42+Trims!E42</f>
        <v>39.9</v>
      </c>
      <c r="E40" s="7">
        <f>Trims!F42+Trims!G42</f>
        <v>83.7</v>
      </c>
      <c r="F40" s="6">
        <f>Trims!H42+Trims!I42</f>
        <v>167.2</v>
      </c>
      <c r="G40" s="7">
        <f>Trims!J42+Trims!K42</f>
        <v>140.5</v>
      </c>
      <c r="H40" s="6">
        <f>Trims!L42+Trims!M42</f>
        <v>78.3</v>
      </c>
      <c r="I40" s="7">
        <f>Trims!N42+Trims!O42</f>
        <v>94.6</v>
      </c>
      <c r="J40" s="6">
        <f>Trims!P42+Trims!Q42</f>
        <v>206.4</v>
      </c>
      <c r="K40" s="145">
        <f>Table_Trims[[#This Row],[2025_T3]]+Table_Trims[[#This Row],[2025_T4]]</f>
        <v>-813</v>
      </c>
    </row>
    <row r="41" spans="1:11" x14ac:dyDescent="0.35">
      <c r="A41" s="60" t="s">
        <v>19</v>
      </c>
      <c r="B41" s="59" t="s">
        <v>80</v>
      </c>
      <c r="C41" s="12" t="s">
        <v>59</v>
      </c>
      <c r="D41" s="148">
        <f>Table_Trims[[#This Row],[2022_T2]]</f>
        <v>1121.9000000000001</v>
      </c>
      <c r="E41" s="148">
        <f>Table_Trims[[#This Row],[2022_T4]]</f>
        <v>1700.4</v>
      </c>
      <c r="F41" s="148">
        <f>Table_Trims[[#This Row],[2023_T2]]</f>
        <v>1684.8</v>
      </c>
      <c r="G41" s="148">
        <f>Table_Trims[[#This Row],[2023_T4]]</f>
        <v>2212.6999999999998</v>
      </c>
      <c r="H41" s="148">
        <f>Table_Trims[[#This Row],[2024_T2]]</f>
        <v>2077.6999999999998</v>
      </c>
      <c r="I41" s="153">
        <f>Table_Trims[[#This Row],[2024_T4]]</f>
        <v>2245.5</v>
      </c>
      <c r="J41" s="148">
        <f>Table_Trims[[#This Row],[2025_T2]]</f>
        <v>3124.3</v>
      </c>
      <c r="K41" s="156">
        <f>Table_Trims[[#This Row],[2025_T4]]</f>
        <v>3662</v>
      </c>
    </row>
    <row r="42" spans="1:11" x14ac:dyDescent="0.35">
      <c r="A42" s="68" t="s">
        <v>100</v>
      </c>
      <c r="B42" s="59" t="s">
        <v>101</v>
      </c>
      <c r="C42" s="10" t="s">
        <v>57</v>
      </c>
      <c r="D42" s="27"/>
      <c r="E42" s="29"/>
      <c r="F42" s="28"/>
      <c r="G42" s="29"/>
      <c r="H42" s="28"/>
      <c r="I42" s="29"/>
      <c r="J42" s="4">
        <f>Trims!P44+Trims!Q44</f>
        <v>0</v>
      </c>
      <c r="K42" s="98"/>
    </row>
    <row r="43" spans="1:11" x14ac:dyDescent="0.35">
      <c r="A43" s="68" t="s">
        <v>100</v>
      </c>
      <c r="B43" s="59" t="s">
        <v>101</v>
      </c>
      <c r="C43" s="11" t="s">
        <v>58</v>
      </c>
      <c r="D43" s="38"/>
      <c r="E43" s="32"/>
      <c r="F43" s="38"/>
      <c r="G43" s="32"/>
      <c r="H43" s="38"/>
      <c r="I43" s="32"/>
      <c r="J43" s="6">
        <f>Trims!P45+Trims!Q45</f>
        <v>0</v>
      </c>
    </row>
    <row r="44" spans="1:11" x14ac:dyDescent="0.35">
      <c r="A44" s="68" t="s">
        <v>100</v>
      </c>
      <c r="B44" s="59" t="s">
        <v>101</v>
      </c>
      <c r="C44" s="12" t="s">
        <v>59</v>
      </c>
      <c r="D44" s="34"/>
      <c r="E44" s="35"/>
      <c r="F44" s="34"/>
      <c r="G44" s="35"/>
      <c r="H44" s="34"/>
      <c r="I44" s="35"/>
      <c r="J44" s="149">
        <f>Table_Trims[[#This Row],[2025_T2]]</f>
        <v>0</v>
      </c>
      <c r="K44" s="159">
        <f>Table_Trims[[#This Row],[2025_T4]]</f>
        <v>4886</v>
      </c>
    </row>
    <row r="45" spans="1:11" x14ac:dyDescent="0.35">
      <c r="A45" s="80" t="s">
        <v>45</v>
      </c>
      <c r="B45" s="90"/>
      <c r="C45" s="90"/>
      <c r="D45" s="92"/>
      <c r="E45" s="92"/>
      <c r="F45" s="92"/>
      <c r="G45" s="92"/>
      <c r="H45" s="92"/>
      <c r="I45" s="92"/>
      <c r="J45" s="92"/>
      <c r="K45" s="90"/>
    </row>
    <row r="46" spans="1:11" x14ac:dyDescent="0.35">
      <c r="A46" s="60" t="s">
        <v>20</v>
      </c>
      <c r="B46" s="59" t="s">
        <v>81</v>
      </c>
      <c r="C46" s="10" t="s">
        <v>57</v>
      </c>
      <c r="D46" s="87">
        <f>Trims!D50+Trims!E50</f>
        <v>6201.24</v>
      </c>
      <c r="E46" s="5">
        <f>Trims!F50+Trims!G50</f>
        <v>7745.59</v>
      </c>
      <c r="F46" s="4">
        <f>Trims!H50+Trims!I50</f>
        <v>7532.96</v>
      </c>
      <c r="G46" s="5">
        <f>Trims!J50+Trims!K50</f>
        <v>8267.119999999999</v>
      </c>
      <c r="H46" s="4">
        <f>Trims!L50+Trims!M50</f>
        <v>7783</v>
      </c>
      <c r="I46" s="5">
        <f>Trims!N50+Trims!O50</f>
        <v>8635</v>
      </c>
      <c r="J46" s="4">
        <f>Trims!P50+Trims!Q50</f>
        <v>8727</v>
      </c>
      <c r="K46" s="4">
        <f>Trims!S50+Trims!R50</f>
        <v>9807</v>
      </c>
    </row>
    <row r="47" spans="1:11" x14ac:dyDescent="0.35">
      <c r="A47" s="60" t="s">
        <v>20</v>
      </c>
      <c r="B47" s="59" t="s">
        <v>81</v>
      </c>
      <c r="C47" s="11" t="s">
        <v>58</v>
      </c>
      <c r="D47" s="6">
        <f>Trims!D51+Trims!E51</f>
        <v>518.27</v>
      </c>
      <c r="E47" s="7">
        <f>Trims!F51+Trims!G51</f>
        <v>655.07999999999993</v>
      </c>
      <c r="F47" s="6">
        <f>Trims!H51+Trims!I51</f>
        <v>582.18000000000006</v>
      </c>
      <c r="G47" s="7">
        <f>Trims!J51+Trims!K51</f>
        <v>636.77</v>
      </c>
      <c r="H47" s="6">
        <f>Trims!L51+Trims!M51</f>
        <v>106</v>
      </c>
      <c r="I47" s="7">
        <f>Trims!N51+Trims!O51</f>
        <v>804</v>
      </c>
      <c r="J47" s="6">
        <f>Trims!P51+Trims!Q51</f>
        <v>751</v>
      </c>
      <c r="K47" s="25">
        <f>Trims!S51+Trims!R51</f>
        <v>455</v>
      </c>
    </row>
    <row r="48" spans="1:11" x14ac:dyDescent="0.35">
      <c r="A48" s="60" t="s">
        <v>20</v>
      </c>
      <c r="B48" s="59" t="s">
        <v>81</v>
      </c>
      <c r="C48" s="12" t="s">
        <v>59</v>
      </c>
      <c r="D48" s="149">
        <f>Table_Trims[[#This Row],[2022_T2]]</f>
        <v>113</v>
      </c>
      <c r="E48" s="149">
        <f>Table_Trims[[#This Row],[2022_T4]]</f>
        <v>108</v>
      </c>
      <c r="F48" s="149">
        <f>Table_Trims[[#This Row],[2023_T2]]</f>
        <v>15</v>
      </c>
      <c r="G48" s="149">
        <f>Table_Trims[[#This Row],[2023_T4]]</f>
        <v>59</v>
      </c>
      <c r="H48" s="149">
        <f>Table_Trims[[#This Row],[2024_T2]]</f>
        <v>18</v>
      </c>
      <c r="I48" s="154">
        <f>Table_Trims[[#This Row],[2024_T4]]</f>
        <v>110</v>
      </c>
      <c r="J48" s="149">
        <f>Table_Trims[[#This Row],[2025_T2]]</f>
        <v>31</v>
      </c>
      <c r="K48" s="149">
        <f>Table_Trims[[#This Row],[2025_T4]]</f>
        <v>0</v>
      </c>
    </row>
    <row r="49" spans="1:11" x14ac:dyDescent="0.35">
      <c r="A49" s="80" t="s">
        <v>103</v>
      </c>
      <c r="B49" s="90"/>
      <c r="C49" s="90"/>
      <c r="D49" s="92"/>
      <c r="E49" s="92"/>
      <c r="F49" s="92"/>
      <c r="G49" s="92"/>
      <c r="H49" s="92"/>
      <c r="I49" s="92"/>
      <c r="J49" s="92"/>
      <c r="K49" s="90"/>
    </row>
    <row r="50" spans="1:11" x14ac:dyDescent="0.35">
      <c r="A50" s="60" t="s">
        <v>21</v>
      </c>
      <c r="B50" s="59" t="s">
        <v>82</v>
      </c>
      <c r="C50" s="10" t="s">
        <v>57</v>
      </c>
      <c r="D50" s="87">
        <f>Trims!D57+Trims!E57</f>
        <v>5907</v>
      </c>
      <c r="E50" s="5">
        <f>Trims!F57+Trims!G57</f>
        <v>7698</v>
      </c>
      <c r="F50" s="4">
        <f>Trims!H57+Trims!I57</f>
        <v>7449</v>
      </c>
      <c r="G50" s="5">
        <f>Trims!J57+Trims!K57</f>
        <v>5743</v>
      </c>
      <c r="H50" s="4">
        <f>Trims!L57+Trims!M57</f>
        <v>5651</v>
      </c>
      <c r="I50" s="5">
        <f>Trims!N57+Trims!O57</f>
        <v>5227</v>
      </c>
      <c r="J50" s="4">
        <f>Trims!P57+Trims!Q57</f>
        <v>5380</v>
      </c>
      <c r="K50" s="145">
        <f>Table_Trims[[#This Row],[2025_T3]]+Table_Trims[[#This Row],[2025_T4]]</f>
        <v>9807</v>
      </c>
    </row>
    <row r="51" spans="1:11" x14ac:dyDescent="0.35">
      <c r="A51" s="60" t="s">
        <v>21</v>
      </c>
      <c r="B51" s="59" t="s">
        <v>82</v>
      </c>
      <c r="C51" s="11" t="s">
        <v>58</v>
      </c>
      <c r="D51" s="6">
        <f>Trims!D58+Trims!E58</f>
        <v>98</v>
      </c>
      <c r="E51" s="7">
        <f>Trims!F58+Trims!G58</f>
        <v>144</v>
      </c>
      <c r="F51" s="6">
        <f>Trims!H58+Trims!I58</f>
        <v>21</v>
      </c>
      <c r="G51" s="7">
        <f>Trims!J58+Trims!K58</f>
        <v>322</v>
      </c>
      <c r="H51" s="6">
        <f>Trims!L58+Trims!M58</f>
        <v>71</v>
      </c>
      <c r="I51" s="7">
        <f>Trims!N58+Trims!O58</f>
        <v>222</v>
      </c>
      <c r="J51" s="6">
        <f>Trims!P58+Trims!Q58</f>
        <v>209</v>
      </c>
      <c r="K51" s="145">
        <f>Table_Trims[[#This Row],[2025_T3]]+Table_Trims[[#This Row],[2025_T4]]</f>
        <v>455</v>
      </c>
    </row>
    <row r="52" spans="1:11" x14ac:dyDescent="0.35">
      <c r="A52" s="60" t="s">
        <v>21</v>
      </c>
      <c r="B52" s="59" t="s">
        <v>82</v>
      </c>
      <c r="C52" s="12" t="s">
        <v>59</v>
      </c>
      <c r="D52" s="149">
        <f>Table_Trims[[#This Row],[2022_T2]]</f>
        <v>3131.13</v>
      </c>
      <c r="E52" s="149">
        <f>Table_Trims[[#This Row],[2022_T4]]</f>
        <v>3176.12</v>
      </c>
      <c r="F52" s="152">
        <f>Table_Trims[[#This Row],[2023_T2]]</f>
        <v>3455.01</v>
      </c>
      <c r="G52" s="152">
        <f>Table_Trims[[#This Row],[2023_T4]]</f>
        <v>3789</v>
      </c>
      <c r="H52" s="152">
        <f>Table_Trims[[#This Row],[2024_T2]]</f>
        <v>3869</v>
      </c>
      <c r="I52" s="153">
        <f>Table_Trims[[#This Row],[2024_T4]]</f>
        <v>3973</v>
      </c>
      <c r="J52" s="152">
        <f>Table_Trims[[#This Row],[2025_T2]]</f>
        <v>4114</v>
      </c>
      <c r="K52" s="159">
        <f>Table_Trims[[#This Row],[2025_T4]]</f>
        <v>4606</v>
      </c>
    </row>
    <row r="53" spans="1:11" x14ac:dyDescent="0.35">
      <c r="A53" s="80" t="s">
        <v>46</v>
      </c>
      <c r="B53" s="90"/>
      <c r="C53" s="90"/>
      <c r="D53" s="91"/>
      <c r="E53" s="89"/>
      <c r="F53" s="89"/>
      <c r="G53" s="89"/>
      <c r="H53" s="89"/>
      <c r="I53" s="89"/>
      <c r="J53" s="89"/>
      <c r="K53" s="90"/>
    </row>
    <row r="54" spans="1:11" x14ac:dyDescent="0.35">
      <c r="A54" s="60" t="s">
        <v>22</v>
      </c>
      <c r="B54" s="59" t="s">
        <v>46</v>
      </c>
      <c r="C54" s="10" t="s">
        <v>57</v>
      </c>
      <c r="D54" s="87">
        <f>Trims!D61+Trims!E61</f>
        <v>5227</v>
      </c>
      <c r="E54" s="7">
        <f>Trims!F61+Trims!G61</f>
        <v>4283</v>
      </c>
      <c r="F54" s="25">
        <f>Trims!H61+Trims!I61</f>
        <v>4432</v>
      </c>
      <c r="G54" s="7">
        <f>Trims!J61+Trims!K61</f>
        <v>3825</v>
      </c>
      <c r="H54" s="25">
        <f>Trims!L61+Trims!M61</f>
        <v>4229</v>
      </c>
      <c r="I54" s="7">
        <f>Trims!N61+Trims!O61</f>
        <v>4544</v>
      </c>
      <c r="J54" s="25">
        <f>Trims!P61+Trims!Q61</f>
        <v>4700</v>
      </c>
      <c r="K54" s="145">
        <f>Table_Trims[[#This Row],[2025_T3]]+Table_Trims[[#This Row],[2025_T4]]</f>
        <v>3216</v>
      </c>
    </row>
    <row r="55" spans="1:11" x14ac:dyDescent="0.35">
      <c r="A55" s="60" t="s">
        <v>22</v>
      </c>
      <c r="B55" s="59" t="s">
        <v>46</v>
      </c>
      <c r="C55" s="11" t="s">
        <v>58</v>
      </c>
      <c r="D55" s="6">
        <f>Trims!D62+Trims!E62</f>
        <v>241.3</v>
      </c>
      <c r="E55" s="7">
        <f>Trims!F62+Trims!G62</f>
        <v>256.10000000000002</v>
      </c>
      <c r="F55" s="6">
        <f>Trims!H62+Trims!I62</f>
        <v>119.2</v>
      </c>
      <c r="G55" s="7">
        <f>Trims!J62+Trims!K62</f>
        <v>236.39999999999998</v>
      </c>
      <c r="H55" s="6">
        <f>Trims!L62+Trims!M62</f>
        <v>271.89999999999998</v>
      </c>
      <c r="I55" s="7">
        <f>Trims!N62+Trims!O62</f>
        <v>262.60000000000002</v>
      </c>
      <c r="J55" s="6">
        <f>Trims!P62+Trims!Q62</f>
        <v>213</v>
      </c>
      <c r="K55" s="145">
        <f>Table_Trims[[#This Row],[2025_T3]]+Table_Trims[[#This Row],[2025_T4]]</f>
        <v>2341</v>
      </c>
    </row>
    <row r="56" spans="1:11" x14ac:dyDescent="0.35">
      <c r="A56" s="60" t="s">
        <v>22</v>
      </c>
      <c r="B56" s="59" t="s">
        <v>46</v>
      </c>
      <c r="C56" s="12" t="s">
        <v>59</v>
      </c>
      <c r="D56" s="148">
        <f>Table_Trims[[#This Row],[2022_T2]]</f>
        <v>0</v>
      </c>
      <c r="E56" s="148">
        <f>Table_Trims[[#This Row],[2022_T4]]</f>
        <v>0</v>
      </c>
      <c r="F56" s="148">
        <f>Table_Trims[[#This Row],[2023_T2]]</f>
        <v>0</v>
      </c>
      <c r="G56" s="148">
        <f>Table_Trims[[#This Row],[2023_T4]]</f>
        <v>0</v>
      </c>
      <c r="H56" s="148">
        <f>Table_Trims[[#This Row],[2024_T2]]</f>
        <v>0</v>
      </c>
      <c r="I56" s="153">
        <f>Table_Trims[[#This Row],[2024_T4]]</f>
        <v>0</v>
      </c>
      <c r="J56" s="148">
        <f>Table_Trims[[#This Row],[2025_T2]]</f>
        <v>0</v>
      </c>
      <c r="K56" s="157">
        <f>Table_Trims[[#This Row],[2025_T4]]</f>
        <v>0</v>
      </c>
    </row>
    <row r="57" spans="1:11" x14ac:dyDescent="0.35">
      <c r="A57" s="60" t="s">
        <v>23</v>
      </c>
      <c r="B57" s="59" t="s">
        <v>83</v>
      </c>
      <c r="C57" s="11" t="s">
        <v>57</v>
      </c>
      <c r="D57" s="87">
        <f>Trims!D64+Trims!E64</f>
        <v>9508</v>
      </c>
      <c r="E57" s="5">
        <f>Trims!F64+Trims!G64</f>
        <v>10209.5</v>
      </c>
      <c r="F57" s="4">
        <f>Trims!H64+Trims!I64</f>
        <v>8263</v>
      </c>
      <c r="G57" s="5">
        <f>Trims!J64+Trims!K64</f>
        <v>8670.1549999999988</v>
      </c>
      <c r="H57" s="4">
        <f>Trims!L64+Trims!M64</f>
        <v>8461.9699999999993</v>
      </c>
      <c r="I57" s="5">
        <f>Trims!N64+Trims!O64</f>
        <v>8289</v>
      </c>
      <c r="J57" s="4">
        <f>Trims!P64+Trims!Q64</f>
        <v>7543.5470000000005</v>
      </c>
      <c r="K57" s="145">
        <f>Table_Trims[[#This Row],[2025_T3]]+Table_Trims[[#This Row],[2025_T4]]</f>
        <v>5258</v>
      </c>
    </row>
    <row r="58" spans="1:11" x14ac:dyDescent="0.35">
      <c r="A58" s="60" t="s">
        <v>23</v>
      </c>
      <c r="B58" s="59" t="s">
        <v>83</v>
      </c>
      <c r="C58" s="12" t="s">
        <v>59</v>
      </c>
      <c r="D58" s="149">
        <f>Table_Trims[[#This Row],[2022_T2]]</f>
        <v>6</v>
      </c>
      <c r="E58" s="149">
        <f>Table_Trims[[#This Row],[2022_T4]]</f>
        <v>123</v>
      </c>
      <c r="F58" s="149">
        <f>Table_Trims[[#This Row],[2023_T2]]</f>
        <v>6</v>
      </c>
      <c r="G58" s="149">
        <f>Table_Trims[[#This Row],[2023_T4]]</f>
        <v>214</v>
      </c>
      <c r="H58" s="149">
        <f>Table_Trims[[#This Row],[2024_T2]]</f>
        <v>49</v>
      </c>
      <c r="I58" s="154">
        <f>Table_Trims[[#This Row],[2024_T4]]</f>
        <v>129</v>
      </c>
      <c r="J58" s="149">
        <f>Table_Trims[[#This Row],[2025_T2]]</f>
        <v>170</v>
      </c>
      <c r="K58" s="159">
        <f>Table_Trims[[#This Row],[2025_T4]]</f>
        <v>40</v>
      </c>
    </row>
    <row r="59" spans="1:11" x14ac:dyDescent="0.35">
      <c r="A59" s="80" t="s">
        <v>47</v>
      </c>
      <c r="B59" s="90"/>
      <c r="C59" s="90"/>
      <c r="D59" s="92"/>
      <c r="E59" s="92"/>
      <c r="F59" s="92"/>
      <c r="G59" s="92"/>
      <c r="H59" s="92"/>
      <c r="I59" s="92"/>
      <c r="J59" s="92"/>
      <c r="K59" s="90"/>
    </row>
    <row r="60" spans="1:11" x14ac:dyDescent="0.35">
      <c r="A60" s="60" t="s">
        <v>24</v>
      </c>
      <c r="B60" s="59" t="s">
        <v>84</v>
      </c>
      <c r="C60" s="10" t="s">
        <v>57</v>
      </c>
      <c r="D60" s="87">
        <f>Trims!D70+Trims!E70</f>
        <v>1268</v>
      </c>
      <c r="E60" s="5">
        <f>Trims!F70+Trims!G70</f>
        <v>1524</v>
      </c>
      <c r="F60" s="4">
        <f>Trims!H70+Trims!I70</f>
        <v>1323</v>
      </c>
      <c r="G60" s="5">
        <f>Trims!J70+Trims!K70</f>
        <v>1800</v>
      </c>
      <c r="H60" s="4">
        <f>Trims!L70+Trims!M70</f>
        <v>1375</v>
      </c>
      <c r="I60" s="5">
        <f>Trims!N70+Trims!O70</f>
        <v>1742</v>
      </c>
      <c r="J60" s="4">
        <f>Trims!P70+Trims!Q70</f>
        <v>1334</v>
      </c>
      <c r="K60" s="4">
        <f>Table_Trims[[#This Row],[2025_T3]]+Table_Trims[[#This Row],[2025_T4]]</f>
        <v>0</v>
      </c>
    </row>
    <row r="61" spans="1:11" x14ac:dyDescent="0.35">
      <c r="A61" s="60" t="s">
        <v>24</v>
      </c>
      <c r="B61" s="59" t="s">
        <v>84</v>
      </c>
      <c r="C61" s="11" t="s">
        <v>58</v>
      </c>
      <c r="D61" s="6">
        <f>Trims!D71+Trims!E71</f>
        <v>35</v>
      </c>
      <c r="E61" s="7">
        <f>Trims!F71+Trims!G71</f>
        <v>24</v>
      </c>
      <c r="F61" s="6">
        <f>Trims!H71+Trims!I71</f>
        <v>39</v>
      </c>
      <c r="G61" s="7">
        <f>Trims!J71+Trims!K71</f>
        <v>50</v>
      </c>
      <c r="H61" s="6">
        <f>Trims!L71+Trims!M71</f>
        <v>47</v>
      </c>
      <c r="I61" s="7">
        <f>Trims!N71+Trims!O71</f>
        <v>43</v>
      </c>
      <c r="J61" s="6">
        <f>Trims!P71+Trims!Q71</f>
        <v>81</v>
      </c>
      <c r="K61" s="4">
        <f>Table_Trims[[#This Row],[2025_T3]]+Table_Trims[[#This Row],[2025_T4]]</f>
        <v>4289</v>
      </c>
    </row>
    <row r="62" spans="1:11" x14ac:dyDescent="0.35">
      <c r="A62" s="60" t="s">
        <v>24</v>
      </c>
      <c r="B62" s="59" t="s">
        <v>84</v>
      </c>
      <c r="C62" s="12" t="s">
        <v>59</v>
      </c>
      <c r="D62" s="149">
        <f>Table_Trims[[#This Row],[2022_T2]]</f>
        <v>127.6</v>
      </c>
      <c r="E62" s="149">
        <f>Table_Trims[[#This Row],[2022_T4]]</f>
        <v>145.1</v>
      </c>
      <c r="F62" s="149">
        <f>Table_Trims[[#This Row],[2023_T2]]</f>
        <v>107.9</v>
      </c>
      <c r="G62" s="149">
        <f>Table_Trims[[#This Row],[2023_T4]]</f>
        <v>123.8</v>
      </c>
      <c r="H62" s="149">
        <f>Table_Trims[[#This Row],[2024_T2]]</f>
        <v>136.30000000000001</v>
      </c>
      <c r="I62" s="154">
        <f>Table_Trims[[#This Row],[2024_T4]]</f>
        <v>148.19999999999999</v>
      </c>
      <c r="J62" s="149">
        <f>Table_Trims[[#This Row],[2025_T2]]</f>
        <v>115.3</v>
      </c>
      <c r="K62" s="160">
        <f>Table_Trims[[#This Row],[2025_T4]]</f>
        <v>172.5</v>
      </c>
    </row>
    <row r="63" spans="1:11" x14ac:dyDescent="0.35">
      <c r="A63" s="80" t="s">
        <v>48</v>
      </c>
      <c r="B63" s="90"/>
      <c r="C63" s="90"/>
      <c r="D63" s="92"/>
      <c r="E63" s="92"/>
      <c r="F63" s="92"/>
      <c r="G63" s="92"/>
      <c r="H63" s="92"/>
      <c r="I63" s="92"/>
      <c r="J63" s="92"/>
      <c r="K63" s="90"/>
    </row>
    <row r="64" spans="1:11" x14ac:dyDescent="0.35">
      <c r="A64" s="60" t="s">
        <v>25</v>
      </c>
      <c r="B64" s="59" t="s">
        <v>85</v>
      </c>
      <c r="C64" s="10" t="s">
        <v>57</v>
      </c>
      <c r="D64" s="87">
        <f>Trims!D74+Trims!E74</f>
        <v>426</v>
      </c>
      <c r="E64" s="5">
        <f>Trims!F74+Trims!G74</f>
        <v>610</v>
      </c>
      <c r="F64" s="4">
        <f>Trims!H74+Trims!I74</f>
        <v>593</v>
      </c>
      <c r="G64" s="5">
        <f>Trims!J74+Trims!K74</f>
        <v>581</v>
      </c>
      <c r="H64" s="4">
        <f>Trims!L74+Trims!M74</f>
        <v>597</v>
      </c>
      <c r="I64" s="5">
        <f>Trims!N74+Trims!O74</f>
        <v>667</v>
      </c>
      <c r="J64" s="4">
        <f>Trims!P74+Trims!Q74</f>
        <v>653</v>
      </c>
      <c r="K64" s="145">
        <f>Table_Trims[[#This Row],[2025_T3]]+Table_Trims[[#This Row],[2025_T4]]</f>
        <v>7582.402</v>
      </c>
    </row>
    <row r="65" spans="1:11" x14ac:dyDescent="0.35">
      <c r="A65" s="60" t="s">
        <v>25</v>
      </c>
      <c r="B65" s="59" t="s">
        <v>85</v>
      </c>
      <c r="C65" s="11" t="s">
        <v>58</v>
      </c>
      <c r="D65" s="6">
        <f>Trims!D75+Trims!E75</f>
        <v>39</v>
      </c>
      <c r="E65" s="7">
        <f>Trims!F75+Trims!G75</f>
        <v>54</v>
      </c>
      <c r="F65" s="6">
        <f>Trims!H75+Trims!I75</f>
        <v>69</v>
      </c>
      <c r="G65" s="7">
        <f>Trims!J75+Trims!K75</f>
        <v>99</v>
      </c>
      <c r="H65" s="6">
        <f>Trims!L75+Trims!M75</f>
        <v>55</v>
      </c>
      <c r="I65" s="7">
        <f>Trims!N75+Trims!O75</f>
        <v>79</v>
      </c>
      <c r="J65" s="6">
        <f>Trims!P75+Trims!Q75</f>
        <v>258</v>
      </c>
      <c r="K65" s="145">
        <f>Table_Trims[[#This Row],[2025_T3]]+Table_Trims[[#This Row],[2025_T4]]</f>
        <v>-548.65700000000004</v>
      </c>
    </row>
    <row r="66" spans="1:11" x14ac:dyDescent="0.35">
      <c r="A66" s="60" t="s">
        <v>25</v>
      </c>
      <c r="B66" s="59" t="s">
        <v>85</v>
      </c>
      <c r="C66" s="12" t="s">
        <v>59</v>
      </c>
      <c r="D66" s="149">
        <f>Table_Trims[[#This Row],[2022_T2]]</f>
        <v>77.8</v>
      </c>
      <c r="E66" s="149">
        <f>Table_Trims[[#This Row],[2022_T4]]</f>
        <v>68.400000000000006</v>
      </c>
      <c r="F66" s="149">
        <f>Table_Trims[[#This Row],[2023_T2]]</f>
        <v>73.3</v>
      </c>
      <c r="G66" s="149">
        <f>Table_Trims[[#This Row],[2023_T4]]</f>
        <v>79.400000000000006</v>
      </c>
      <c r="H66" s="149">
        <f>Table_Trims[[#This Row],[2024_T2]]</f>
        <v>78.3</v>
      </c>
      <c r="I66" s="154">
        <f>Table_Trims[[#This Row],[2024_T4]]</f>
        <v>77.7</v>
      </c>
      <c r="J66" s="149">
        <f>Table_Trims[[#This Row],[2025_T2]]</f>
        <v>85.4</v>
      </c>
      <c r="K66" s="157">
        <f>Table_Trims[[#This Row],[2025_T4]]</f>
        <v>104.5</v>
      </c>
    </row>
    <row r="67" spans="1:11" x14ac:dyDescent="0.35">
      <c r="A67" s="80" t="s">
        <v>49</v>
      </c>
      <c r="B67" s="90"/>
      <c r="C67" s="90"/>
      <c r="D67" s="92"/>
      <c r="E67" s="92"/>
      <c r="F67" s="92"/>
      <c r="G67" s="92"/>
      <c r="H67" s="92"/>
      <c r="I67" s="92"/>
      <c r="J67" s="92"/>
      <c r="K67" s="90"/>
    </row>
    <row r="68" spans="1:11" x14ac:dyDescent="0.35">
      <c r="A68" s="60" t="s">
        <v>26</v>
      </c>
      <c r="B68" s="59" t="s">
        <v>86</v>
      </c>
      <c r="C68" s="10" t="s">
        <v>57</v>
      </c>
      <c r="D68" s="27"/>
      <c r="E68" s="29"/>
      <c r="F68" s="28"/>
      <c r="G68" s="5">
        <f>Trims!J78+Trims!K78</f>
        <v>577</v>
      </c>
      <c r="H68" s="4">
        <f>Trims!L78+Trims!M78</f>
        <v>1116</v>
      </c>
      <c r="I68" s="5">
        <f>Trims!N78+Trims!O78</f>
        <v>1211</v>
      </c>
      <c r="J68" s="4">
        <f>Trims!P78+Trims!Q78</f>
        <v>1120</v>
      </c>
      <c r="K68" s="145">
        <f>Table_Trims[[#This Row],[2025_T3]]+Table_Trims[[#This Row],[2025_T4]]</f>
        <v>268.2</v>
      </c>
    </row>
    <row r="69" spans="1:11" x14ac:dyDescent="0.35">
      <c r="A69" s="60" t="s">
        <v>26</v>
      </c>
      <c r="B69" s="59" t="s">
        <v>86</v>
      </c>
      <c r="C69" s="11" t="s">
        <v>58</v>
      </c>
      <c r="D69" s="38"/>
      <c r="E69" s="32"/>
      <c r="F69" s="38"/>
      <c r="G69" s="7">
        <f>Trims!J79+Trims!K79</f>
        <v>24</v>
      </c>
      <c r="H69" s="6">
        <f>Trims!L79+Trims!M79</f>
        <v>68</v>
      </c>
      <c r="I69" s="7">
        <f>Trims!N79+Trims!O79</f>
        <v>40</v>
      </c>
      <c r="J69" s="6">
        <f>Trims!P79+Trims!Q79</f>
        <v>22</v>
      </c>
      <c r="K69" s="145">
        <f>Table_Trims[[#This Row],[2025_T3]]+Table_Trims[[#This Row],[2025_T4]]</f>
        <v>0</v>
      </c>
    </row>
    <row r="70" spans="1:11" x14ac:dyDescent="0.35">
      <c r="A70" s="60" t="s">
        <v>26</v>
      </c>
      <c r="B70" s="59" t="s">
        <v>86</v>
      </c>
      <c r="C70" s="12" t="s">
        <v>59</v>
      </c>
      <c r="D70" s="34"/>
      <c r="E70" s="35"/>
      <c r="F70" s="34"/>
      <c r="G70" s="9">
        <f>Trims!J80+Trims!K80</f>
        <v>568</v>
      </c>
      <c r="H70" s="149">
        <v>0</v>
      </c>
      <c r="I70" s="154">
        <v>0</v>
      </c>
      <c r="J70" s="149">
        <f>Table_Trims[[#This Row],[2025_T2]]</f>
        <v>755</v>
      </c>
      <c r="K70" s="159">
        <f>Table_Trims[[#This Row],[2025_T4]]</f>
        <v>1012</v>
      </c>
    </row>
    <row r="71" spans="1:11" x14ac:dyDescent="0.35">
      <c r="A71" s="80" t="s">
        <v>50</v>
      </c>
      <c r="B71" s="90"/>
      <c r="C71" s="90"/>
      <c r="D71" s="92"/>
      <c r="E71" s="92"/>
      <c r="F71" s="92"/>
      <c r="G71" s="92"/>
      <c r="H71" s="92"/>
      <c r="I71" s="92"/>
      <c r="J71" s="92"/>
      <c r="K71" s="90"/>
    </row>
    <row r="72" spans="1:11" x14ac:dyDescent="0.35">
      <c r="A72" s="60" t="s">
        <v>27</v>
      </c>
      <c r="B72" s="59" t="s">
        <v>87</v>
      </c>
      <c r="C72" s="10" t="s">
        <v>57</v>
      </c>
      <c r="D72" s="87">
        <f>Trims!D82+Trims!E82</f>
        <v>1993</v>
      </c>
      <c r="E72" s="5">
        <f>Trims!F82+Trims!G82</f>
        <v>1955</v>
      </c>
      <c r="F72" s="4">
        <f>Trims!H82+Trims!I82</f>
        <v>2119</v>
      </c>
      <c r="G72" s="5">
        <f>Trims!J82+Trims!K82</f>
        <v>2202</v>
      </c>
      <c r="H72" s="4">
        <f>Trims!L82+Trims!M82</f>
        <v>2482</v>
      </c>
      <c r="I72" s="5">
        <f>Trims!N82+Trims!O82</f>
        <v>2526</v>
      </c>
      <c r="J72" s="4">
        <f>Trims!P82+Trims!Q82</f>
        <v>2866</v>
      </c>
      <c r="K72" s="4">
        <f>Trims!R82+Trims!S82</f>
        <v>2943</v>
      </c>
    </row>
    <row r="73" spans="1:11" x14ac:dyDescent="0.35">
      <c r="A73" s="60" t="s">
        <v>27</v>
      </c>
      <c r="B73" s="59" t="s">
        <v>87</v>
      </c>
      <c r="C73" s="11" t="s">
        <v>58</v>
      </c>
      <c r="D73" s="6">
        <f>Trims!D83+Trims!E83</f>
        <v>156</v>
      </c>
      <c r="E73" s="7">
        <f>Trims!F83+Trims!G83</f>
        <v>321</v>
      </c>
      <c r="F73" s="6">
        <f>Trims!H83+Trims!I83</f>
        <v>138</v>
      </c>
      <c r="G73" s="7">
        <f>Trims!J83+Trims!K83</f>
        <v>392</v>
      </c>
      <c r="H73" s="6">
        <f>Trims!L83+Trims!M83</f>
        <v>164</v>
      </c>
      <c r="I73" s="7">
        <f>Trims!N83+Trims!O83</f>
        <v>551</v>
      </c>
      <c r="J73" s="6">
        <f>Trims!P83+Trims!Q83</f>
        <v>1293</v>
      </c>
      <c r="K73" s="25">
        <f>Trims!R83+Trims!S83</f>
        <v>1122</v>
      </c>
    </row>
    <row r="74" spans="1:11" x14ac:dyDescent="0.35">
      <c r="A74" s="60" t="s">
        <v>27</v>
      </c>
      <c r="B74" s="59" t="s">
        <v>87</v>
      </c>
      <c r="C74" s="12" t="s">
        <v>59</v>
      </c>
      <c r="D74" s="149">
        <f>Table_Trims[[#This Row],[2022_T2]]</f>
        <v>276</v>
      </c>
      <c r="E74" s="149">
        <f>Table_Trims[[#This Row],[2022_T4]]</f>
        <v>314</v>
      </c>
      <c r="F74" s="149">
        <f>Table_Trims[[#This Row],[2023_T2]]</f>
        <v>320</v>
      </c>
      <c r="G74" s="149">
        <f>Table_Trims[[#This Row],[2023_T4]]</f>
        <v>295</v>
      </c>
      <c r="H74" s="149">
        <f>Table_Trims[[#This Row],[2024_T2]]</f>
        <v>344</v>
      </c>
      <c r="I74" s="154">
        <f>Table_Trims[[#This Row],[2024_T4]]</f>
        <v>349</v>
      </c>
      <c r="J74" s="149">
        <f>Table_Trims[[#This Row],[2025_T2]]</f>
        <v>375</v>
      </c>
      <c r="K74" s="149">
        <f>Table_Trims[[#This Row],[2025_T4]]</f>
        <v>486</v>
      </c>
    </row>
    <row r="75" spans="1:11" x14ac:dyDescent="0.35">
      <c r="A75" s="80" t="s">
        <v>51</v>
      </c>
      <c r="B75" s="90"/>
      <c r="C75" s="90"/>
      <c r="D75" s="92"/>
      <c r="E75" s="92"/>
      <c r="F75" s="92"/>
      <c r="G75" s="92"/>
      <c r="H75" s="92"/>
      <c r="I75" s="92"/>
      <c r="J75" s="92"/>
      <c r="K75" s="90"/>
    </row>
    <row r="76" spans="1:11" x14ac:dyDescent="0.35">
      <c r="A76" s="60" t="s">
        <v>28</v>
      </c>
      <c r="B76" s="59" t="s">
        <v>28</v>
      </c>
      <c r="C76" s="10" t="s">
        <v>57</v>
      </c>
      <c r="D76" s="87">
        <f>Trims!D86+Trims!E86</f>
        <v>480</v>
      </c>
      <c r="E76" s="5">
        <f>Trims!F86+Trims!G86</f>
        <v>524</v>
      </c>
      <c r="F76" s="4">
        <f>Trims!H86+Trims!I86</f>
        <v>561</v>
      </c>
      <c r="G76" s="5">
        <f>Trims!J86+Trims!K86</f>
        <v>614</v>
      </c>
      <c r="H76" s="4">
        <f>Trims!L86+Trims!M86</f>
        <v>570.70000000000005</v>
      </c>
      <c r="I76" s="5">
        <f>Trims!N86+Trims!O86</f>
        <v>678</v>
      </c>
      <c r="J76" s="4">
        <f>Trims!P86+Trims!Q86</f>
        <v>663</v>
      </c>
      <c r="K76" s="145">
        <f>Table_Trims[[#This Row],[2025_T3]]+Table_Trims[[#This Row],[2025_T4]]</f>
        <v>3253</v>
      </c>
    </row>
    <row r="77" spans="1:11" x14ac:dyDescent="0.35">
      <c r="A77" s="60" t="s">
        <v>28</v>
      </c>
      <c r="B77" s="59" t="s">
        <v>28</v>
      </c>
      <c r="C77" s="12" t="s">
        <v>59</v>
      </c>
      <c r="D77" s="149">
        <f>Table_Trims[[#This Row],[2022_T2]]</f>
        <v>0</v>
      </c>
      <c r="E77" s="149">
        <f>Table_Trims[[#This Row],[2022_T4]]</f>
        <v>0</v>
      </c>
      <c r="F77" s="149">
        <f>Table_Trims[[#This Row],[2023_T2]]</f>
        <v>0</v>
      </c>
      <c r="G77" s="149">
        <f>Table_Trims[[#This Row],[2023_T4]]</f>
        <v>0</v>
      </c>
      <c r="H77" s="149">
        <f>Table_Trims[[#This Row],[2024_T2]]</f>
        <v>0</v>
      </c>
      <c r="I77" s="154">
        <f>Table_Trims[[#This Row],[2024_T4]]</f>
        <v>0</v>
      </c>
      <c r="J77" s="149">
        <f>Table_Trims[[#This Row],[2025_T2]]</f>
        <v>0</v>
      </c>
      <c r="K77" s="157">
        <f>Table_Trims[[#This Row],[2025_T4]]</f>
        <v>0</v>
      </c>
    </row>
    <row r="78" spans="1:11" x14ac:dyDescent="0.35">
      <c r="A78" s="80" t="s">
        <v>52</v>
      </c>
      <c r="B78" s="90"/>
      <c r="C78" s="90"/>
      <c r="D78" s="92"/>
      <c r="E78" s="92"/>
      <c r="F78" s="92"/>
      <c r="G78" s="92"/>
      <c r="H78" s="92"/>
      <c r="I78" s="92"/>
      <c r="J78" s="92"/>
      <c r="K78" s="90"/>
    </row>
    <row r="79" spans="1:11" x14ac:dyDescent="0.35">
      <c r="A79" s="60" t="s">
        <v>29</v>
      </c>
      <c r="B79" s="59" t="s">
        <v>88</v>
      </c>
      <c r="C79" s="10" t="s">
        <v>57</v>
      </c>
      <c r="D79" s="87">
        <f>Trims!D89+Trims!E89</f>
        <v>5466</v>
      </c>
      <c r="E79" s="5">
        <f>Trims!F89+Trims!G89</f>
        <v>4179</v>
      </c>
      <c r="F79" s="4">
        <f>Trims!H89+Trims!I89</f>
        <v>4182</v>
      </c>
      <c r="G79" s="5">
        <f>Trims!J89+Trims!K89</f>
        <v>3326</v>
      </c>
      <c r="H79" s="4">
        <f>Trims!L89+Trims!M89</f>
        <v>4408</v>
      </c>
      <c r="I79" s="5">
        <f>Trims!N89+Trims!O89</f>
        <v>4452</v>
      </c>
      <c r="J79" s="4">
        <f>Trims!P89+Trims!Q89</f>
        <v>4422</v>
      </c>
      <c r="K79" s="145">
        <f>Table_Trims[[#This Row],[2025_T3]]+Table_Trims[[#This Row],[2025_T4]]</f>
        <v>953</v>
      </c>
    </row>
    <row r="80" spans="1:11" x14ac:dyDescent="0.35">
      <c r="A80" s="60" t="s">
        <v>29</v>
      </c>
      <c r="B80" s="59" t="s">
        <v>88</v>
      </c>
      <c r="C80" s="11" t="s">
        <v>58</v>
      </c>
      <c r="D80" s="6">
        <f>Trims!D90+Trims!E90</f>
        <v>956</v>
      </c>
      <c r="E80" s="7">
        <f>Trims!F90+Trims!G90</f>
        <v>1218</v>
      </c>
      <c r="F80" s="6">
        <f>Trims!H90+Trims!I90</f>
        <v>1162</v>
      </c>
      <c r="G80" s="7">
        <f>Trims!J90+Trims!K90</f>
        <v>1590</v>
      </c>
      <c r="H80" s="6">
        <f>Trims!L90+Trims!M90</f>
        <v>2684</v>
      </c>
      <c r="I80" s="7">
        <f>Trims!N90+Trims!O90</f>
        <v>4568</v>
      </c>
      <c r="J80" s="6">
        <f>Trims!P90+Trims!Q90</f>
        <v>2886</v>
      </c>
      <c r="K80" s="145">
        <f>Table_Trims[[#This Row],[2025_T3]]+Table_Trims[[#This Row],[2025_T4]]</f>
        <v>1040</v>
      </c>
    </row>
    <row r="81" spans="1:11" x14ac:dyDescent="0.35">
      <c r="A81" s="60" t="s">
        <v>29</v>
      </c>
      <c r="B81" s="59" t="s">
        <v>88</v>
      </c>
      <c r="C81" s="12" t="s">
        <v>59</v>
      </c>
      <c r="D81" s="148">
        <f>Table_Trims[[#This Row],[2022_T2]]</f>
        <v>0</v>
      </c>
      <c r="E81" s="148">
        <f>Table_Trims[[#This Row],[2022_T4]]</f>
        <v>0</v>
      </c>
      <c r="F81" s="148">
        <f>Table_Trims[[#This Row],[2023_T2]]</f>
        <v>0</v>
      </c>
      <c r="G81" s="148">
        <f>Table_Trims[[#This Row],[2023_T4]]</f>
        <v>0</v>
      </c>
      <c r="H81" s="148">
        <f>Table_Trims[[#This Row],[2024_T2]]</f>
        <v>0</v>
      </c>
      <c r="I81" s="153">
        <f>Table_Trims[[#This Row],[2024_T4]]</f>
        <v>0</v>
      </c>
      <c r="J81" s="148">
        <f>Table_Trims[[#This Row],[2025_T2]]</f>
        <v>0</v>
      </c>
      <c r="K81" s="156">
        <f>Table_Trims[[#This Row],[2025_T4]]</f>
        <v>0</v>
      </c>
    </row>
    <row r="82" spans="1:11" x14ac:dyDescent="0.35">
      <c r="A82" s="60" t="s">
        <v>30</v>
      </c>
      <c r="B82" s="59" t="s">
        <v>89</v>
      </c>
      <c r="C82" s="11" t="s">
        <v>57</v>
      </c>
      <c r="D82" s="87">
        <f>Trims!D92+Trims!E92</f>
        <v>213</v>
      </c>
      <c r="E82" s="5">
        <f>Trims!F92+Trims!G92</f>
        <v>376</v>
      </c>
      <c r="F82" s="4">
        <f>Trims!H92+Trims!I92</f>
        <v>275</v>
      </c>
      <c r="G82" s="5">
        <f>Trims!J92+Trims!K92</f>
        <v>315</v>
      </c>
      <c r="H82" s="4">
        <f>Trims!L92+Trims!M92</f>
        <v>281</v>
      </c>
      <c r="I82" s="5">
        <f>Trims!N92+Trims!O92</f>
        <v>305</v>
      </c>
      <c r="J82" s="4">
        <f>Trims!P92+Trims!Q92</f>
        <v>342</v>
      </c>
      <c r="K82" s="4">
        <f>Trims!R92+Trims!S92</f>
        <v>348</v>
      </c>
    </row>
    <row r="83" spans="1:11" x14ac:dyDescent="0.35">
      <c r="A83" s="60" t="s">
        <v>30</v>
      </c>
      <c r="B83" s="59" t="s">
        <v>89</v>
      </c>
      <c r="C83" s="11" t="s">
        <v>58</v>
      </c>
      <c r="D83" s="6">
        <f>Trims!D93+Trims!E93</f>
        <v>55</v>
      </c>
      <c r="E83" s="7">
        <f>Trims!F93+Trims!G93</f>
        <v>37</v>
      </c>
      <c r="F83" s="6">
        <f>Trims!H93+Trims!I93</f>
        <v>53</v>
      </c>
      <c r="G83" s="7">
        <f>Trims!J93+Trims!K93</f>
        <v>54</v>
      </c>
      <c r="H83" s="6">
        <f>Trims!L93+Trims!M93</f>
        <v>54</v>
      </c>
      <c r="I83" s="7">
        <f>Trims!N93+Trims!O93</f>
        <v>49</v>
      </c>
      <c r="J83" s="6">
        <f>Trims!P93+Trims!Q93</f>
        <v>27</v>
      </c>
      <c r="K83" s="25">
        <f>Trims!R93+Trims!S93</f>
        <v>35</v>
      </c>
    </row>
    <row r="84" spans="1:11" x14ac:dyDescent="0.35">
      <c r="A84" s="60" t="s">
        <v>30</v>
      </c>
      <c r="B84" s="59" t="s">
        <v>89</v>
      </c>
      <c r="C84" s="12" t="s">
        <v>59</v>
      </c>
      <c r="D84" s="148">
        <f>Table_Trims[[#This Row],[2022_T2]]</f>
        <v>954</v>
      </c>
      <c r="E84" s="148">
        <f>Table_Trims[[#This Row],[2022_T4]]</f>
        <v>342</v>
      </c>
      <c r="F84" s="148">
        <f>Table_Trims[[#This Row],[2023_T2]]</f>
        <v>105</v>
      </c>
      <c r="G84" s="148">
        <f>Table_Trims[[#This Row],[2023_T4]]</f>
        <v>24</v>
      </c>
      <c r="H84" s="148">
        <f>Table_Trims[[#This Row],[2024_T2]]</f>
        <v>-647</v>
      </c>
      <c r="I84" s="153">
        <f>Table_Trims[[#This Row],[2024_T4]]</f>
        <v>-792</v>
      </c>
      <c r="J84" s="148">
        <f>Table_Trims[[#This Row],[2025_T2]]</f>
        <v>-492</v>
      </c>
      <c r="K84" s="149">
        <f>Table_Trims[[#This Row],[2025_T4]]</f>
        <v>-753</v>
      </c>
    </row>
    <row r="85" spans="1:11" x14ac:dyDescent="0.35">
      <c r="A85" s="60" t="s">
        <v>31</v>
      </c>
      <c r="B85" s="59" t="s">
        <v>31</v>
      </c>
      <c r="C85" s="11" t="s">
        <v>57</v>
      </c>
      <c r="D85" s="87">
        <f>Trims!D95+Trims!E95</f>
        <v>419</v>
      </c>
      <c r="E85" s="5">
        <f>Trims!F95+Trims!G95</f>
        <v>379</v>
      </c>
      <c r="F85" s="4">
        <f>Trims!H95+Trims!I95</f>
        <v>532</v>
      </c>
      <c r="G85" s="5">
        <f>Trims!J95+Trims!K95</f>
        <v>534</v>
      </c>
      <c r="H85" s="4">
        <f>Trims!L95+Trims!M95</f>
        <v>571</v>
      </c>
      <c r="I85" s="5">
        <f>Trims!N95+Trims!O95</f>
        <v>482</v>
      </c>
      <c r="J85" s="4">
        <f>Trims!P95+Trims!Q95</f>
        <v>628</v>
      </c>
      <c r="K85" s="155">
        <f>Table_Trims[[#This Row],[2025_T3]]+Table_Trims[[#This Row],[2025_T4]]</f>
        <v>0</v>
      </c>
    </row>
    <row r="86" spans="1:11" x14ac:dyDescent="0.35">
      <c r="A86" s="60" t="s">
        <v>31</v>
      </c>
      <c r="B86" s="59" t="s">
        <v>31</v>
      </c>
      <c r="C86" s="11" t="s">
        <v>58</v>
      </c>
      <c r="D86" s="6">
        <f>Trims!D96+Trims!E96</f>
        <v>103</v>
      </c>
      <c r="E86" s="7">
        <f>Trims!F96+Trims!G96</f>
        <v>118</v>
      </c>
      <c r="F86" s="6">
        <f>Trims!H96+Trims!I96</f>
        <v>89</v>
      </c>
      <c r="G86" s="7">
        <f>Trims!J96+Trims!K96</f>
        <v>86</v>
      </c>
      <c r="H86" s="6">
        <f>Trims!L96+Trims!M96</f>
        <v>92</v>
      </c>
      <c r="I86" s="7">
        <f>Trims!N96+Trims!O96</f>
        <v>121</v>
      </c>
      <c r="J86" s="6">
        <f>Trims!P96+Trims!Q96</f>
        <v>98</v>
      </c>
      <c r="K86" s="155">
        <f>Table_Trims[[#This Row],[2025_T3]]+Table_Trims[[#This Row],[2025_T4]]</f>
        <v>875</v>
      </c>
    </row>
    <row r="87" spans="1:11" x14ac:dyDescent="0.35">
      <c r="A87" s="60" t="s">
        <v>31</v>
      </c>
      <c r="B87" s="59" t="s">
        <v>31</v>
      </c>
      <c r="C87" s="12" t="s">
        <v>59</v>
      </c>
      <c r="D87" s="149">
        <f>Table_Trims[[#This Row],[2022_T2]]</f>
        <v>165</v>
      </c>
      <c r="E87" s="149">
        <f>Table_Trims[[#This Row],[2022_T4]]</f>
        <v>159</v>
      </c>
      <c r="F87" s="149">
        <f>Table_Trims[[#This Row],[2023_T2]]</f>
        <v>123.7</v>
      </c>
      <c r="G87" s="149">
        <f>Table_Trims[[#This Row],[2023_T4]]</f>
        <v>87</v>
      </c>
      <c r="H87" s="149">
        <f>Table_Trims[[#This Row],[2024_T2]]</f>
        <v>108.8</v>
      </c>
      <c r="I87" s="154">
        <f>Table_Trims[[#This Row],[2024_T4]]</f>
        <v>551</v>
      </c>
      <c r="J87" s="149">
        <f>Table_Trims[[#This Row],[2025_T2]]</f>
        <v>533</v>
      </c>
      <c r="K87" s="159">
        <f>Table_Trims[[#This Row],[2025_T4]]</f>
        <v>423</v>
      </c>
    </row>
    <row r="88" spans="1:11" x14ac:dyDescent="0.35">
      <c r="A88" s="78" t="s">
        <v>53</v>
      </c>
      <c r="B88" s="90"/>
      <c r="C88" s="90"/>
      <c r="D88" s="92"/>
      <c r="E88" s="92"/>
      <c r="F88" s="92"/>
      <c r="G88" s="92"/>
      <c r="H88" s="92"/>
      <c r="I88" s="92"/>
      <c r="J88" s="92"/>
      <c r="K88" s="90"/>
    </row>
    <row r="89" spans="1:11" x14ac:dyDescent="0.35">
      <c r="A89" s="60" t="s">
        <v>32</v>
      </c>
      <c r="B89" s="59" t="s">
        <v>90</v>
      </c>
      <c r="C89" s="10" t="s">
        <v>57</v>
      </c>
      <c r="D89" s="87">
        <f>Trims!D99+Trims!E99</f>
        <v>17568</v>
      </c>
      <c r="E89" s="5">
        <f>Trims!F99+Trims!G99</f>
        <v>18163</v>
      </c>
      <c r="F89" s="4">
        <f>Trims!H99+Trims!I99</f>
        <v>18399</v>
      </c>
      <c r="G89" s="5">
        <f>Trims!J99+Trims!K99</f>
        <v>18386</v>
      </c>
      <c r="H89" s="4">
        <f>Trims!L99+Trims!M99</f>
        <v>18260</v>
      </c>
      <c r="I89" s="5">
        <f>Trims!N99+Trims!O99</f>
        <v>18439</v>
      </c>
      <c r="J89" s="4">
        <f>Trims!P99+Trims!Q99</f>
        <v>18041</v>
      </c>
      <c r="K89" s="4">
        <f>Trims!S99+Trims!R99</f>
        <v>18634</v>
      </c>
    </row>
    <row r="90" spans="1:11" x14ac:dyDescent="0.35">
      <c r="A90" s="60" t="s">
        <v>32</v>
      </c>
      <c r="B90" s="59" t="s">
        <v>90</v>
      </c>
      <c r="C90" s="11" t="s">
        <v>58</v>
      </c>
      <c r="D90" s="6">
        <f>Trims!D100+Trims!E100</f>
        <v>3720</v>
      </c>
      <c r="E90" s="7">
        <f>Trims!F100+Trims!G100</f>
        <v>3852</v>
      </c>
      <c r="F90" s="6">
        <f>Trims!H100+Trims!I100</f>
        <v>2946</v>
      </c>
      <c r="G90" s="7">
        <f>Trims!J100+Trims!K100</f>
        <v>4893</v>
      </c>
      <c r="H90" s="6">
        <f>Trims!L100+Trims!M100</f>
        <v>3233</v>
      </c>
      <c r="I90" s="7">
        <f>Trims!N100+Trims!O100</f>
        <v>7932</v>
      </c>
      <c r="J90" s="6">
        <f>Trims!P100+Trims!Q100</f>
        <v>3184</v>
      </c>
      <c r="K90" s="25">
        <f>Trims!S100+Trims!R100</f>
        <v>7707</v>
      </c>
    </row>
    <row r="91" spans="1:11" x14ac:dyDescent="0.35">
      <c r="A91" s="60" t="s">
        <v>32</v>
      </c>
      <c r="B91" s="59" t="s">
        <v>90</v>
      </c>
      <c r="C91" s="12" t="s">
        <v>59</v>
      </c>
      <c r="D91" s="149">
        <f>Table_Trims[[#This Row],[2022_T2]]</f>
        <v>4205</v>
      </c>
      <c r="E91" s="149">
        <f>Table_Trims[[#This Row],[2022_T4]]</f>
        <v>4347</v>
      </c>
      <c r="F91" s="149">
        <f>Table_Trims[[#This Row],[2023_T2]]</f>
        <v>6588</v>
      </c>
      <c r="G91" s="149">
        <f>Table_Trims[[#This Row],[2023_T4]]</f>
        <v>7588</v>
      </c>
      <c r="H91" s="149">
        <f>Table_Trims[[#This Row],[2024_T2]]</f>
        <v>7143</v>
      </c>
      <c r="I91" s="154">
        <f>Table_Trims[[#This Row],[2024_T4]]</f>
        <v>10272</v>
      </c>
      <c r="J91" s="149">
        <f>Table_Trims[[#This Row],[2025_T2]]</f>
        <v>14335</v>
      </c>
      <c r="K91" s="149">
        <f>Table_Trims[[#This Row],[2025_T4]]</f>
        <v>12674</v>
      </c>
    </row>
    <row r="92" spans="1:11" x14ac:dyDescent="0.35">
      <c r="A92" s="80" t="s">
        <v>54</v>
      </c>
      <c r="B92" s="90"/>
      <c r="C92" s="90"/>
      <c r="D92" s="92"/>
      <c r="E92" s="92"/>
      <c r="F92" s="92"/>
      <c r="G92" s="92"/>
      <c r="H92" s="92"/>
      <c r="I92" s="92"/>
      <c r="J92" s="92"/>
      <c r="K92" s="90"/>
    </row>
    <row r="93" spans="1:11" x14ac:dyDescent="0.35">
      <c r="A93" s="60" t="s">
        <v>33</v>
      </c>
      <c r="B93" s="59" t="s">
        <v>91</v>
      </c>
      <c r="C93" s="10" t="s">
        <v>57</v>
      </c>
      <c r="D93" s="87">
        <f>Trims!D103+Trims!E103</f>
        <v>806</v>
      </c>
      <c r="E93" s="5">
        <f>Trims!F103+Trims!G103</f>
        <v>778</v>
      </c>
      <c r="F93" s="4">
        <f>Trims!H103+Trims!I103</f>
        <v>1003</v>
      </c>
      <c r="G93" s="5">
        <f>Trims!J103+Trims!K103</f>
        <v>1015</v>
      </c>
      <c r="H93" s="4">
        <f>Trims!L103+Trims!M103</f>
        <v>1209</v>
      </c>
      <c r="I93" s="5">
        <f>Trims!N103+Trims!O103</f>
        <v>1155</v>
      </c>
      <c r="J93" s="4">
        <f>Trims!P103+Trims!Q103</f>
        <v>1333</v>
      </c>
      <c r="K93" s="145">
        <f>Table_Trims[[#This Row],[2025_T3]]+Table_Trims[[#This Row],[2025_T4]]</f>
        <v>35</v>
      </c>
    </row>
    <row r="94" spans="1:11" x14ac:dyDescent="0.35">
      <c r="A94" s="60" t="s">
        <v>33</v>
      </c>
      <c r="B94" s="59" t="s">
        <v>91</v>
      </c>
      <c r="C94" s="12" t="s">
        <v>59</v>
      </c>
      <c r="D94" s="150">
        <f>Table_Trims[[#This Row],[2022_T2]]</f>
        <v>310</v>
      </c>
      <c r="E94" s="150">
        <f>Table_Trims[[#This Row],[2022_T4]]</f>
        <v>282</v>
      </c>
      <c r="F94" s="149">
        <f>Table_Trims[[#This Row],[2023_T2]]</f>
        <v>194</v>
      </c>
      <c r="G94" s="149">
        <f>Table_Trims[[#This Row],[2023_T4]]</f>
        <v>400</v>
      </c>
      <c r="H94" s="149">
        <f>Table_Trims[[#This Row],[2024_T2]]</f>
        <v>319</v>
      </c>
      <c r="I94" s="154">
        <f>Table_Trims[[#This Row],[2024_T4]]</f>
        <v>231</v>
      </c>
      <c r="J94" s="149">
        <f>Table_Trims[[#This Row],[2025_T2]]</f>
        <v>141</v>
      </c>
      <c r="K94" s="159">
        <f>Table_Trims[[#This Row],[2025_T4]]</f>
        <v>70</v>
      </c>
    </row>
    <row r="95" spans="1:11" x14ac:dyDescent="0.35">
      <c r="A95" s="60" t="s">
        <v>34</v>
      </c>
      <c r="B95" s="59" t="s">
        <v>92</v>
      </c>
      <c r="C95" s="11" t="s">
        <v>57</v>
      </c>
      <c r="D95" s="6">
        <f>Trims!D105+Trims!E105</f>
        <v>810</v>
      </c>
      <c r="E95" s="7">
        <f>Trims!F105+Trims!G105</f>
        <v>584</v>
      </c>
      <c r="F95" s="6">
        <f>Trims!H105+Trims!I105</f>
        <v>1405</v>
      </c>
      <c r="G95" s="7">
        <f>Trims!J105+Trims!K105</f>
        <v>694</v>
      </c>
      <c r="H95" s="6">
        <f>Trims!L105+Trims!M105</f>
        <v>1687</v>
      </c>
      <c r="I95" s="7">
        <f>Trims!N105+Trims!O105</f>
        <v>902</v>
      </c>
      <c r="J95" s="6">
        <f>Trims!P105+Trims!Q105</f>
        <v>1297</v>
      </c>
      <c r="K95" s="155">
        <f>Table_Trims[[#This Row],[2025_T3]]+Table_Trims[[#This Row],[2025_T4]]</f>
        <v>938</v>
      </c>
    </row>
    <row r="96" spans="1:11" x14ac:dyDescent="0.35">
      <c r="A96" s="60" t="s">
        <v>34</v>
      </c>
      <c r="B96" s="59" t="s">
        <v>92</v>
      </c>
      <c r="C96" s="12" t="s">
        <v>59</v>
      </c>
      <c r="D96" s="150">
        <f>Table_Trims[[#This Row],[2022_T2]]</f>
        <v>62</v>
      </c>
      <c r="E96" s="150">
        <f>Table_Trims[[#This Row],[2022_T4]]</f>
        <v>63</v>
      </c>
      <c r="F96" s="149">
        <f>Table_Trims[[#This Row],[2023_T2]]</f>
        <v>44</v>
      </c>
      <c r="G96" s="149">
        <f>Table_Trims[[#This Row],[2023_T4]]</f>
        <v>52</v>
      </c>
      <c r="H96" s="149">
        <f>Table_Trims[[#This Row],[2024_T2]]</f>
        <v>53</v>
      </c>
      <c r="I96" s="154">
        <f>Table_Trims[[#This Row],[2024_T4]]</f>
        <v>66</v>
      </c>
      <c r="J96" s="149">
        <f>Table_Trims[[#This Row],[2025_T2]]</f>
        <v>49</v>
      </c>
      <c r="K96" s="159">
        <f>Table_Trims[[#This Row],[2025_T4]]</f>
        <v>62</v>
      </c>
    </row>
    <row r="97" spans="1:11" x14ac:dyDescent="0.35">
      <c r="A97" s="94" t="s">
        <v>35</v>
      </c>
      <c r="B97" s="95" t="s">
        <v>93</v>
      </c>
      <c r="C97" s="96" t="s">
        <v>57</v>
      </c>
      <c r="D97" s="39">
        <f>Trims!D107+Trims!E107</f>
        <v>287</v>
      </c>
      <c r="E97" s="40">
        <f>Trims!F107+Trims!G107</f>
        <v>249</v>
      </c>
      <c r="F97" s="39">
        <f>Trims!H107+Trims!I107</f>
        <v>253</v>
      </c>
      <c r="G97" s="40">
        <f>Trims!J107+Trims!K107</f>
        <v>167</v>
      </c>
      <c r="H97" s="39">
        <f>Trims!L107+Trims!M107</f>
        <v>92</v>
      </c>
      <c r="I97" s="7">
        <f>Trims!N107+Trims!O107</f>
        <v>44</v>
      </c>
      <c r="J97" s="6">
        <f>Trims!P107+Trims!Q107</f>
        <v>170</v>
      </c>
      <c r="K97" s="155">
        <f>Table_Trims[[#This Row],[2025_T3]]+Table_Trims[[#This Row],[2025_T4]]</f>
        <v>-387.79999999999995</v>
      </c>
    </row>
    <row r="98" spans="1:11" x14ac:dyDescent="0.35">
      <c r="A98" s="94" t="s">
        <v>35</v>
      </c>
      <c r="B98" s="95" t="s">
        <v>93</v>
      </c>
      <c r="C98" s="97" t="s">
        <v>59</v>
      </c>
      <c r="D98" s="149">
        <f>Table_Trims[[#This Row],[2022_T2]]</f>
        <v>0</v>
      </c>
      <c r="E98" s="149">
        <f>Table_Trims[[#This Row],[2022_T4]]</f>
        <v>0</v>
      </c>
      <c r="F98" s="149">
        <f>Table_Trims[[#This Row],[2023_T2]]</f>
        <v>0</v>
      </c>
      <c r="G98" s="149">
        <f>Table_Trims[[#This Row],[2023_T4]]</f>
        <v>0</v>
      </c>
      <c r="H98" s="149">
        <f>Table_Trims[[#This Row],[2024_T2]]</f>
        <v>0</v>
      </c>
      <c r="I98" s="154">
        <f>Table_Trims[[#This Row],[2024_T4]]</f>
        <v>0</v>
      </c>
      <c r="J98" s="149">
        <f>Table_Trims[[#This Row],[2025_T2]]</f>
        <v>0</v>
      </c>
      <c r="K98" s="159">
        <f>Table_Trims[[#This Row],[2025_T4]]</f>
        <v>0</v>
      </c>
    </row>
    <row r="99" spans="1:11" x14ac:dyDescent="0.35">
      <c r="A99" s="80" t="s">
        <v>55</v>
      </c>
      <c r="B99" s="90"/>
      <c r="C99" s="90"/>
      <c r="D99" s="92"/>
      <c r="E99" s="92"/>
      <c r="F99" s="92"/>
      <c r="G99" s="92"/>
      <c r="H99" s="92"/>
      <c r="I99" s="92"/>
      <c r="J99" s="92"/>
      <c r="K99" s="90"/>
    </row>
    <row r="100" spans="1:11" x14ac:dyDescent="0.35">
      <c r="A100" s="60" t="s">
        <v>36</v>
      </c>
      <c r="B100" s="59" t="s">
        <v>94</v>
      </c>
      <c r="C100" s="13" t="s">
        <v>57</v>
      </c>
      <c r="D100" s="87">
        <f>Trims!D110+Trims!E110</f>
        <v>451</v>
      </c>
      <c r="E100" s="5">
        <f>Trims!F110+Trims!G110</f>
        <v>583</v>
      </c>
      <c r="F100" s="4">
        <f>Trims!H110+Trims!I110</f>
        <v>823</v>
      </c>
      <c r="G100" s="5">
        <f>Trims!J110+Trims!K110</f>
        <v>1089</v>
      </c>
      <c r="H100" s="4">
        <f>Trims!L110+Trims!M110</f>
        <v>1248</v>
      </c>
      <c r="I100" s="5">
        <f>Trims!N110+Trims!O110</f>
        <v>1704</v>
      </c>
      <c r="J100" s="4">
        <f>Trims!P110+Trims!Q110</f>
        <v>2090</v>
      </c>
      <c r="K100" s="4">
        <f>Trims!R110+Trims!S110</f>
        <v>2319</v>
      </c>
    </row>
    <row r="101" spans="1:11" x14ac:dyDescent="0.35">
      <c r="A101" s="60" t="s">
        <v>36</v>
      </c>
      <c r="B101" s="59" t="s">
        <v>94</v>
      </c>
      <c r="C101" s="14" t="s">
        <v>58</v>
      </c>
      <c r="D101" s="6">
        <f>Trims!D111+Trims!E111</f>
        <v>128</v>
      </c>
      <c r="E101" s="7">
        <f>Trims!F111+Trims!G111</f>
        <v>980</v>
      </c>
      <c r="F101" s="6">
        <f>Trims!H111+Trims!I111</f>
        <v>587</v>
      </c>
      <c r="G101" s="7">
        <f>Trims!J111+Trims!K111</f>
        <v>474</v>
      </c>
      <c r="H101" s="6">
        <f>Trims!L111+Trims!M111</f>
        <v>568</v>
      </c>
      <c r="I101" s="7">
        <f>Trims!N111+Trims!O111</f>
        <v>1121</v>
      </c>
      <c r="J101" s="6">
        <f>Trims!P111+Trims!Q111</f>
        <v>925</v>
      </c>
      <c r="K101" s="25">
        <f>Trims!R111+Trims!S111</f>
        <v>1130</v>
      </c>
    </row>
    <row r="102" spans="1:11" x14ac:dyDescent="0.35">
      <c r="A102" s="60" t="s">
        <v>36</v>
      </c>
      <c r="B102" s="59" t="s">
        <v>94</v>
      </c>
      <c r="C102" s="15" t="s">
        <v>59</v>
      </c>
      <c r="D102" s="24">
        <f>Trims!D112+Trims!E112</f>
        <v>0</v>
      </c>
      <c r="E102" s="9">
        <f>Trims!F112+Trims!G112</f>
        <v>0</v>
      </c>
      <c r="F102" s="149">
        <f>Table_Trims[[#This Row],[2023_T2]]</f>
        <v>0</v>
      </c>
      <c r="G102" s="149">
        <f>Table_Trims[[#This Row],[2023_T4]]</f>
        <v>0</v>
      </c>
      <c r="H102" s="149">
        <f>Table_Trims[[#This Row],[2024_T2]]</f>
        <v>0</v>
      </c>
      <c r="I102" s="154">
        <f>Table_Trims[[#This Row],[2024_T4]]</f>
        <v>0</v>
      </c>
      <c r="J102" s="149">
        <f>Table_Trims[[#This Row],[2025_T2]]</f>
        <v>0</v>
      </c>
      <c r="K102" s="149">
        <f>Table_Trims[[#This Row],[2025_T4]]</f>
        <v>0</v>
      </c>
    </row>
    <row r="103" spans="1:11" x14ac:dyDescent="0.35">
      <c r="A103" s="60" t="s">
        <v>37</v>
      </c>
      <c r="B103" s="59" t="s">
        <v>95</v>
      </c>
      <c r="C103" s="14" t="s">
        <v>57</v>
      </c>
      <c r="D103" s="38"/>
      <c r="E103" s="32"/>
      <c r="F103" s="38"/>
      <c r="G103" s="32"/>
      <c r="H103" s="6">
        <f>Trims!L113+Trims!M113</f>
        <v>366</v>
      </c>
      <c r="I103" s="7">
        <f>Trims!N113+Trims!O113</f>
        <v>469</v>
      </c>
      <c r="J103" s="6">
        <f>Trims!P113+Trims!Q113</f>
        <v>527</v>
      </c>
      <c r="K103" s="25">
        <f>Trims!R113+Trims!S113</f>
        <v>558</v>
      </c>
    </row>
    <row r="104" spans="1:11" x14ac:dyDescent="0.35">
      <c r="A104" s="60" t="s">
        <v>37</v>
      </c>
      <c r="B104" s="59" t="s">
        <v>95</v>
      </c>
      <c r="C104" s="14" t="s">
        <v>58</v>
      </c>
      <c r="D104" s="38"/>
      <c r="E104" s="32"/>
      <c r="F104" s="38"/>
      <c r="G104" s="32"/>
      <c r="H104" s="51">
        <f>Trims!L114+Trims!M114</f>
        <v>0.39999999999999997</v>
      </c>
      <c r="I104" s="7">
        <f>Trims!N114+Trims!O114</f>
        <v>3</v>
      </c>
      <c r="J104" s="6">
        <f>Trims!P114+Trims!Q114</f>
        <v>4.5</v>
      </c>
      <c r="K104" s="25">
        <f>Trims!R114+Trims!S114</f>
        <v>27</v>
      </c>
    </row>
    <row r="105" spans="1:11" x14ac:dyDescent="0.35">
      <c r="A105" s="60" t="s">
        <v>37</v>
      </c>
      <c r="B105" s="59" t="s">
        <v>95</v>
      </c>
      <c r="C105" s="15" t="s">
        <v>59</v>
      </c>
      <c r="D105" s="33"/>
      <c r="E105" s="35"/>
      <c r="F105" s="34"/>
      <c r="G105" s="35"/>
      <c r="H105" s="149">
        <f>Table_Trims[[#This Row],[2024_T2]]</f>
        <v>998</v>
      </c>
      <c r="I105" s="154">
        <f>Table_Trims[[#This Row],[2024_T4]]</f>
        <v>653</v>
      </c>
      <c r="J105" s="149">
        <f>Table_Trims[[#This Row],[2025_T2]]</f>
        <v>575</v>
      </c>
      <c r="K105" s="149">
        <f>Table_Trims[[#This Row],[2025_T4]]</f>
        <v>1059</v>
      </c>
    </row>
    <row r="106" spans="1:11" x14ac:dyDescent="0.35">
      <c r="A106" s="67" t="s">
        <v>38</v>
      </c>
      <c r="B106" s="59" t="s">
        <v>96</v>
      </c>
      <c r="C106" s="10" t="s">
        <v>57</v>
      </c>
      <c r="D106" s="6">
        <f>Trims!D116+Trims!E116</f>
        <v>1162</v>
      </c>
      <c r="E106" s="7">
        <f>Trims!F116+Trims!G116</f>
        <v>1110</v>
      </c>
      <c r="F106" s="6">
        <f>Trims!H116+Trims!I116</f>
        <v>1209</v>
      </c>
      <c r="G106" s="7">
        <f>Trims!J116+Trims!K116</f>
        <v>1246</v>
      </c>
      <c r="H106" s="6">
        <f>Trims!L116+Trims!M116</f>
        <v>1328</v>
      </c>
      <c r="I106" s="7">
        <f>Trims!N116+Trims!O116</f>
        <v>2816</v>
      </c>
      <c r="J106" s="6">
        <f>Trims!P116+Trims!Q116</f>
        <v>1549</v>
      </c>
      <c r="K106" s="155">
        <f>Table_Trims[[#This Row],[2025_T3]]+Table_Trims[[#This Row],[2025_T4]]</f>
        <v>4100</v>
      </c>
    </row>
    <row r="107" spans="1:11" x14ac:dyDescent="0.35">
      <c r="A107" s="67" t="s">
        <v>38</v>
      </c>
      <c r="B107" s="59" t="s">
        <v>96</v>
      </c>
      <c r="C107" s="11" t="s">
        <v>58</v>
      </c>
      <c r="D107" s="6">
        <f>Trims!D117+Trims!E117</f>
        <v>17</v>
      </c>
      <c r="E107" s="7">
        <f>Trims!F117+Trims!G117</f>
        <v>38</v>
      </c>
      <c r="F107" s="6">
        <f>Trims!H117+Trims!I117</f>
        <v>22</v>
      </c>
      <c r="G107" s="7">
        <f>Trims!J117+Trims!K117</f>
        <v>78</v>
      </c>
      <c r="H107" s="6">
        <f>Trims!L117+Trims!M117</f>
        <v>23</v>
      </c>
      <c r="I107" s="7">
        <f>Trims!N117+Trims!O117</f>
        <v>51</v>
      </c>
      <c r="J107" s="6">
        <f>Trims!P117+Trims!Q117</f>
        <v>28</v>
      </c>
      <c r="K107" s="155">
        <f>Table_Trims[[#This Row],[2025_T3]]+Table_Trims[[#This Row],[2025_T4]]</f>
        <v>304</v>
      </c>
    </row>
    <row r="108" spans="1:11" x14ac:dyDescent="0.35">
      <c r="A108" s="67" t="s">
        <v>38</v>
      </c>
      <c r="B108" s="59" t="s">
        <v>96</v>
      </c>
      <c r="C108" s="12" t="s">
        <v>59</v>
      </c>
      <c r="D108" s="149">
        <f>Table_Trims[[#This Row],[2022_T2]]</f>
        <v>2397</v>
      </c>
      <c r="E108" s="149">
        <f>Table_Trims[[#This Row],[2022_T4]]</f>
        <v>2327</v>
      </c>
      <c r="F108" s="149">
        <f>Table_Trims[[#This Row],[2023_T2]]</f>
        <v>1729</v>
      </c>
      <c r="G108" s="149">
        <f>Table_Trims[[#This Row],[2023_T4]]</f>
        <v>1733</v>
      </c>
      <c r="H108" s="149">
        <f>Table_Trims[[#This Row],[2024_T2]]</f>
        <v>1781</v>
      </c>
      <c r="I108" s="154">
        <f>Table_Trims[[#This Row],[2024_T4]]</f>
        <v>1710</v>
      </c>
      <c r="J108" s="149">
        <f>Table_Trims[[#This Row],[2025_T2]]</f>
        <v>1635</v>
      </c>
      <c r="K108" s="159">
        <f>Table_Trims[[#This Row],[2025_T4]]</f>
        <v>1775</v>
      </c>
    </row>
    <row r="109" spans="1:11" x14ac:dyDescent="0.35">
      <c r="A109" s="80" t="s">
        <v>56</v>
      </c>
      <c r="B109" s="90"/>
      <c r="C109" s="90"/>
      <c r="D109" s="92"/>
      <c r="E109" s="92"/>
      <c r="F109" s="92"/>
      <c r="G109" s="92"/>
      <c r="H109" s="92"/>
      <c r="I109" s="92"/>
      <c r="J109" s="92"/>
      <c r="K109" s="90"/>
    </row>
    <row r="110" spans="1:11" x14ac:dyDescent="0.35">
      <c r="A110" s="60" t="s">
        <v>39</v>
      </c>
      <c r="B110" s="59" t="s">
        <v>97</v>
      </c>
      <c r="C110" s="10" t="s">
        <v>57</v>
      </c>
      <c r="D110" s="87">
        <f>Trims!D120+Trims!E120</f>
        <v>230.1</v>
      </c>
      <c r="E110" s="5">
        <f>Trims!F120+Trims!G120</f>
        <v>255.9</v>
      </c>
      <c r="F110" s="4">
        <f>Trims!H120+Trims!I120</f>
        <v>295.20000000000005</v>
      </c>
      <c r="G110" s="5">
        <f>Trims!J120+Trims!K120</f>
        <v>287.89999999999998</v>
      </c>
      <c r="H110" s="4">
        <f>Trims!L120+Trims!M120</f>
        <v>298</v>
      </c>
      <c r="I110" s="5">
        <f>Trims!N120+Trims!O120</f>
        <v>307.89999999999998</v>
      </c>
      <c r="J110" s="4">
        <f>Trims!P120+Trims!Q120</f>
        <v>308</v>
      </c>
      <c r="K110" s="145">
        <f>Table_Trims[[#This Row],[2025_T4]]+Table_Trims[[#This Row],[2025_T3]]</f>
        <v>2319</v>
      </c>
    </row>
    <row r="111" spans="1:11" x14ac:dyDescent="0.35">
      <c r="A111" s="60" t="s">
        <v>39</v>
      </c>
      <c r="B111" s="59" t="s">
        <v>97</v>
      </c>
      <c r="C111" s="11" t="s">
        <v>58</v>
      </c>
      <c r="D111" s="6">
        <f>Trims!D121+Trims!E121</f>
        <v>381.2</v>
      </c>
      <c r="E111" s="7">
        <f>Trims!F121+Trims!G121</f>
        <v>364.8</v>
      </c>
      <c r="F111" s="6">
        <f>Trims!H121+Trims!I121</f>
        <v>237.89999999999998</v>
      </c>
      <c r="G111" s="7">
        <f>Trims!J121+Trims!K121</f>
        <v>236.10000000000002</v>
      </c>
      <c r="H111" s="6">
        <f>Trims!L121+Trims!M121</f>
        <v>221.5</v>
      </c>
      <c r="I111" s="7">
        <f>Trims!N121+Trims!O121</f>
        <v>235.3</v>
      </c>
      <c r="J111" s="6">
        <f>Trims!P121+Trims!Q121</f>
        <v>142.30000000000001</v>
      </c>
      <c r="K111" s="145">
        <f>Table_Trims[[#This Row],[2025_T4]]+Table_Trims[[#This Row],[2025_T3]]</f>
        <v>1130</v>
      </c>
    </row>
    <row r="112" spans="1:11" x14ac:dyDescent="0.35">
      <c r="A112" s="60" t="s">
        <v>39</v>
      </c>
      <c r="B112" s="59" t="s">
        <v>97</v>
      </c>
      <c r="C112" s="11" t="s">
        <v>59</v>
      </c>
      <c r="D112" s="151">
        <f>Table_Trims[[#This Row],[2022_T2]]</f>
        <v>0</v>
      </c>
      <c r="E112" s="151">
        <f>Table_Trims[[#This Row],[2022_T4]]</f>
        <v>0</v>
      </c>
      <c r="F112" s="151">
        <f>Table_Trims[[#This Row],[2023_T2]]</f>
        <v>872</v>
      </c>
      <c r="G112" s="151">
        <f>Table_Trims[[#This Row],[2023_T4]]</f>
        <v>1150</v>
      </c>
      <c r="H112" s="152">
        <f>Table_Trims[[#This Row],[2024_T2]]</f>
        <v>1818</v>
      </c>
      <c r="I112" s="153">
        <f>Table_Trims[[#This Row],[2024_T4]]</f>
        <v>1872</v>
      </c>
      <c r="J112" s="152">
        <f>Table_Trims[[#This Row],[2025_T2]]</f>
        <v>2827</v>
      </c>
      <c r="K112" s="157">
        <f>Table_Trims[[#This Row],[2025_T4]]</f>
        <v>4246</v>
      </c>
    </row>
  </sheetData>
  <pageMargins left="0.7" right="0.7" top="0.75" bottom="0.75" header="0.3" footer="0.3"/>
  <headerFooter>
    <oddFooter>&amp;R_x000D_&amp;1#&amp;"Calibri"&amp;10&amp;K008000 Attijariwafa bank DIFFUSABLE</oddFooter>
  </headerFooter>
  <ignoredErrors>
    <ignoredError sqref="D3:D19 E3:E19 F3:F19 G3:G17 H3:H17 I3:I17 J2:J8 D20:D112 E20:E112 F20:F112 J109:J111 J106:J107 J103:J104 J99:J101 J97 J95 J92:J93 J88:J90 J85:J86 J82:J83 J78:J80 J75:J76 J71:J73 J67:J69 J63:J65 J59:J61 J57 J53:J55 J49:J51 J45:J47 J42:J43 J39:J40 J36:J37 J34 J30:J32 J27:J28 J24:J25 J21:J22 J20 J23 J26 J29 J33 J35 J38 J41 J44 J48 J52 J56 J58 J62 J66 J70 J74 J77 J81 J84 J87 J91 J94 J96 J98 J102 J105 J108 J112 I109:I111 I106:I107 I103:I104 I99:I101 I97 I95 I92:I93 I88:I90 I85:I86 I82:I83 I78:I80 I75:I76 I71:I73 I67:I69 I63:I65 I59:I61 I57 I53:I55 I49:I51 I42:I47 I39:I40 I36:I37 I34 I30:I32 I27:I28 I24:I25 I21:I22 I18:I19 I20 I23 I26 I29 I33 I35 I38 I41 I48 I52 I56 I58 I62 I66 I70 I74 I77 I81 I84 I87 I91 I94 I96 I98 I102 I105 I108 I112 H109:H111 H106:H107 H103:H104 H99:H101 H97 H95 H92:H93 H88:H90 H85:H86 H82:H83 H78:H80 H75:H76 H71:H73 H67:H69 H63:H65 H59:H61 H57 H53:H55 H49:H51 H42:H47 H39:H40 H36:H37 H34 H30:H32 H27:H28 H24:H25 H21:H22 H18:H19 H20 H23 H26 H29 H33 H35 H38 H41 H48 H52 H56 H58 H62 H66 H70 H74 H77 H81 H84 H87 H91 H94 H96 H98 H102 H105 H108 H112 G109:G111 G103:G107 G99:G101 G97 G95 G92:G93 G88:G90 G85:G86 G82:G83 G78:G80 G75:G76 G67:G73 G63:G65 G59:G61 G57 G53:G55 G49:G51 G42:G47 G39:G40 G36:G37 G34 G30:G32 G27:G28 G24:G25 G21:G22 G18:G19 G20 G23 G26 G29 G33 G35 G38 G41 G48 G52 G56 G58 G62 G66 G74 G77 G81 G84 G87 G91 G94 G96 G98 G102 G108 G112 J9:J19" calculatedColumn="1"/>
    <ignoredError sqref="K95:K96 K26 K33:K38 K56:K57 K20:K23" formula="1"/>
  </ignoredErrors>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7A6E3-C1DC-4E72-AEC7-34B5CBEDFE49}">
  <dimension ref="A1:O113"/>
  <sheetViews>
    <sheetView zoomScale="97" workbookViewId="0">
      <pane xSplit="3" ySplit="1" topLeftCell="D29" activePane="bottomRight" state="frozen"/>
      <selection pane="topRight" activeCell="D1" sqref="D1"/>
      <selection pane="bottomLeft" activeCell="A2" sqref="A2"/>
      <selection pane="bottomRight" activeCell="O56" sqref="O56"/>
    </sheetView>
  </sheetViews>
  <sheetFormatPr baseColWidth="10" defaultRowHeight="14.5" x14ac:dyDescent="0.35"/>
  <cols>
    <col min="1" max="1" width="24" customWidth="1"/>
    <col min="3" max="3" width="14.54296875" customWidth="1"/>
    <col min="4" max="4" width="12.81640625" customWidth="1"/>
    <col min="5" max="5" width="12.7265625" customWidth="1"/>
    <col min="6" max="6" width="13.26953125" customWidth="1"/>
    <col min="7" max="7" width="12.81640625" customWidth="1"/>
    <col min="8" max="8" width="13.26953125" customWidth="1"/>
    <col min="9" max="9" width="12.81640625" customWidth="1"/>
    <col min="10" max="10" width="13.26953125" customWidth="1"/>
  </cols>
  <sheetData>
    <row r="1" spans="1:10" x14ac:dyDescent="0.35">
      <c r="A1" t="s">
        <v>107</v>
      </c>
      <c r="B1" t="s">
        <v>128</v>
      </c>
      <c r="C1" t="s">
        <v>129</v>
      </c>
      <c r="D1" s="69" t="s">
        <v>108</v>
      </c>
      <c r="E1" s="69" t="s">
        <v>109</v>
      </c>
      <c r="F1" s="118" t="s">
        <v>105</v>
      </c>
      <c r="G1" s="69" t="s">
        <v>110</v>
      </c>
      <c r="H1" s="118" t="s">
        <v>104</v>
      </c>
      <c r="I1" s="83" t="s">
        <v>111</v>
      </c>
      <c r="J1" s="118" t="s">
        <v>106</v>
      </c>
    </row>
    <row r="2" spans="1:10" x14ac:dyDescent="0.35">
      <c r="A2" s="82" t="s">
        <v>40</v>
      </c>
      <c r="B2" s="76"/>
      <c r="C2" s="76"/>
      <c r="D2" s="76"/>
      <c r="E2" s="76"/>
      <c r="F2" s="76"/>
      <c r="G2" s="76"/>
      <c r="H2" s="76"/>
      <c r="I2" s="76"/>
      <c r="J2" s="162"/>
    </row>
    <row r="3" spans="1:10" x14ac:dyDescent="0.35">
      <c r="A3" s="70" t="s">
        <v>1</v>
      </c>
      <c r="B3" s="71" t="s">
        <v>64</v>
      </c>
      <c r="C3" s="1" t="s">
        <v>57</v>
      </c>
      <c r="D3" s="111">
        <f>Semestriel!D3+Semestriel!E3</f>
        <v>5403</v>
      </c>
      <c r="E3" s="111">
        <f>Semestriel!F3+Semestriel!G3</f>
        <v>5112</v>
      </c>
      <c r="F3" s="129">
        <f>(E3-D3)/D3</f>
        <v>-5.3858967240421989E-2</v>
      </c>
      <c r="G3" s="113">
        <f>Semestriel!H3+Semestriel!I3</f>
        <v>5260</v>
      </c>
      <c r="H3" s="120">
        <f>(G3-E3)/E3</f>
        <v>2.8951486697965573E-2</v>
      </c>
      <c r="I3" s="161">
        <f>Table_Semestriel[[#This Row],[S1_2025 ]]+Table_Semestriel[[#This Row],[S2_2025]]</f>
        <v>6050</v>
      </c>
      <c r="J3" s="120">
        <f>(Table_Annuel[[#This Row],[2025]]-Table_Annuel[[#This Row],[2024]])/Table_Annuel[[#This Row],[2024]]</f>
        <v>0.15019011406844107</v>
      </c>
    </row>
    <row r="4" spans="1:10" x14ac:dyDescent="0.35">
      <c r="A4" s="3" t="s">
        <v>2</v>
      </c>
      <c r="B4" s="20" t="s">
        <v>65</v>
      </c>
      <c r="C4" s="1" t="s">
        <v>57</v>
      </c>
      <c r="D4" s="112">
        <f>Semestriel!D4+Semestriel!E4</f>
        <v>11638</v>
      </c>
      <c r="E4" s="112">
        <f>Semestriel!F4+Semestriel!G4</f>
        <v>12724</v>
      </c>
      <c r="F4" s="121">
        <f>(E4-D4)/D4</f>
        <v>9.3315002577762499E-2</v>
      </c>
      <c r="G4" s="112">
        <f>Semestriel!H4+Semestriel!I4</f>
        <v>13067</v>
      </c>
      <c r="H4" s="121">
        <f>(G4-E4)/E4</f>
        <v>2.6956931782458348E-2</v>
      </c>
      <c r="I4" s="161">
        <f>Table_Semestriel[[#This Row],[S1_2025 ]]+Table_Semestriel[[#This Row],[S2_2025]]</f>
        <v>15226</v>
      </c>
      <c r="J4" s="163">
        <f>(Table_Annuel[[#This Row],[2025]]-Table_Annuel[[#This Row],[2024]])/Table_Annuel[[#This Row],[2024]]</f>
        <v>0.16522537690365041</v>
      </c>
    </row>
    <row r="5" spans="1:10" x14ac:dyDescent="0.35">
      <c r="A5" s="78" t="s">
        <v>41</v>
      </c>
      <c r="B5" s="90"/>
      <c r="C5" s="90"/>
      <c r="D5" s="99"/>
      <c r="E5" s="99"/>
      <c r="F5" s="130"/>
      <c r="G5" s="99"/>
      <c r="H5" s="122"/>
      <c r="I5" s="76"/>
      <c r="J5" s="162"/>
    </row>
    <row r="6" spans="1:10" x14ac:dyDescent="0.35">
      <c r="A6" s="60" t="s">
        <v>3</v>
      </c>
      <c r="B6" s="59" t="s">
        <v>66</v>
      </c>
      <c r="C6" s="22" t="s">
        <v>57</v>
      </c>
      <c r="D6" s="111">
        <f>Semestriel!D6+Semestriel!E6</f>
        <v>26313</v>
      </c>
      <c r="E6" s="111">
        <f>Semestriel!F6+Semestriel!G6</f>
        <v>29943</v>
      </c>
      <c r="F6" s="126">
        <f>(E6-D6)/D6</f>
        <v>0.13795462319005813</v>
      </c>
      <c r="G6" s="111">
        <f>Semestriel!H6+Semestriel!I6</f>
        <v>34507</v>
      </c>
      <c r="H6" s="121">
        <f t="shared" ref="H6:H12" si="0">(G6-E6)/E6</f>
        <v>0.15242293691346892</v>
      </c>
      <c r="I6" s="4">
        <f>Semestriel!K6+Semestriel!J6</f>
        <v>34921</v>
      </c>
      <c r="J6" s="163">
        <f>(Table_Annuel[[#This Row],[2025]]-Table_Annuel[[#This Row],[2024]])/Table_Annuel[[#This Row],[2024]]</f>
        <v>1.1997565711304952E-2</v>
      </c>
    </row>
    <row r="7" spans="1:10" x14ac:dyDescent="0.35">
      <c r="A7" s="60" t="s">
        <v>4</v>
      </c>
      <c r="B7" s="59" t="s">
        <v>67</v>
      </c>
      <c r="C7" s="22" t="s">
        <v>57</v>
      </c>
      <c r="D7" s="111">
        <f>Semestriel!D7+Semestriel!E7</f>
        <v>15626</v>
      </c>
      <c r="E7" s="111">
        <f>Semestriel!F7+Semestriel!G7</f>
        <v>16942</v>
      </c>
      <c r="F7" s="126">
        <f t="shared" ref="F7:F12" si="1">(E7-D7)/D7</f>
        <v>8.421861000895943E-2</v>
      </c>
      <c r="G7" s="111">
        <f>Semestriel!H7+Semestriel!I7</f>
        <v>18622</v>
      </c>
      <c r="H7" s="121">
        <f t="shared" si="0"/>
        <v>9.916184629913824E-2</v>
      </c>
      <c r="I7" s="4">
        <f>Semestriel!K7+Semestriel!J7</f>
        <v>20348</v>
      </c>
      <c r="J7" s="120">
        <f>(Table_Annuel[[#This Row],[2025]]-Table_Annuel[[#This Row],[2024]])/Table_Annuel[[#This Row],[2024]]</f>
        <v>9.2686070239501664E-2</v>
      </c>
    </row>
    <row r="8" spans="1:10" x14ac:dyDescent="0.35">
      <c r="A8" s="60" t="s">
        <v>5</v>
      </c>
      <c r="B8" s="59" t="s">
        <v>5</v>
      </c>
      <c r="C8" s="22" t="s">
        <v>57</v>
      </c>
      <c r="D8" s="111">
        <f>Semestriel!D8+Semestriel!E8</f>
        <v>20609</v>
      </c>
      <c r="E8" s="111">
        <f>Semestriel!F8+Semestriel!G8</f>
        <v>22795</v>
      </c>
      <c r="F8" s="126">
        <f t="shared" si="1"/>
        <v>0.10607016352079189</v>
      </c>
      <c r="G8" s="111">
        <f>Semestriel!H8+Semestriel!I8</f>
        <v>25601</v>
      </c>
      <c r="H8" s="121">
        <f t="shared" si="0"/>
        <v>0.12309717043211231</v>
      </c>
      <c r="I8" s="4">
        <f>Semestriel!K8+Semestriel!J8</f>
        <v>27000</v>
      </c>
      <c r="J8" s="163">
        <f>(Table_Annuel[[#This Row],[2025]]-Table_Annuel[[#This Row],[2024]])/Table_Annuel[[#This Row],[2024]]</f>
        <v>5.4646302878793795E-2</v>
      </c>
    </row>
    <row r="9" spans="1:10" x14ac:dyDescent="0.35">
      <c r="A9" s="60" t="s">
        <v>6</v>
      </c>
      <c r="B9" s="59" t="s">
        <v>68</v>
      </c>
      <c r="C9" s="22" t="s">
        <v>57</v>
      </c>
      <c r="D9" s="111">
        <f>Semestriel!D9+Semestriel!E9</f>
        <v>3055</v>
      </c>
      <c r="E9" s="111">
        <f>Semestriel!F9+Semestriel!G9</f>
        <v>3440</v>
      </c>
      <c r="F9" s="126">
        <f t="shared" si="1"/>
        <v>0.1260229132569558</v>
      </c>
      <c r="G9" s="111">
        <f>Semestriel!H9+Semestriel!I9</f>
        <v>3790</v>
      </c>
      <c r="H9" s="120">
        <f t="shared" si="0"/>
        <v>0.10174418604651163</v>
      </c>
      <c r="I9" s="4">
        <f>Semestriel!K9+Semestriel!J9</f>
        <v>3940</v>
      </c>
      <c r="J9" s="163">
        <f>(Table_Annuel[[#This Row],[2025]]-Table_Annuel[[#This Row],[2024]])/Table_Annuel[[#This Row],[2024]]</f>
        <v>3.9577836411609502E-2</v>
      </c>
    </row>
    <row r="10" spans="1:10" x14ac:dyDescent="0.35">
      <c r="A10" s="60" t="s">
        <v>7</v>
      </c>
      <c r="B10" s="59" t="s">
        <v>7</v>
      </c>
      <c r="C10" s="22" t="s">
        <v>57</v>
      </c>
      <c r="D10" s="111">
        <f>Semestriel!D10+Semestriel!E10</f>
        <v>2569.1</v>
      </c>
      <c r="E10" s="111">
        <f>Semestriel!F10+Semestriel!G10</f>
        <v>2900</v>
      </c>
      <c r="F10" s="126">
        <f t="shared" si="1"/>
        <v>0.12879996886069056</v>
      </c>
      <c r="G10" s="111">
        <f>Semestriel!H10+Semestriel!I10</f>
        <v>3300</v>
      </c>
      <c r="H10" s="121">
        <f t="shared" si="0"/>
        <v>0.13793103448275862</v>
      </c>
      <c r="I10" s="4">
        <f>Semestriel!K10+Semestriel!J10</f>
        <v>3468</v>
      </c>
      <c r="J10" s="163">
        <f>(Table_Annuel[[#This Row],[2025]]-Table_Annuel[[#This Row],[2024]])/Table_Annuel[[#This Row],[2024]]</f>
        <v>5.0909090909090911E-2</v>
      </c>
    </row>
    <row r="11" spans="1:10" x14ac:dyDescent="0.35">
      <c r="A11" s="60" t="s">
        <v>8</v>
      </c>
      <c r="B11" s="59" t="s">
        <v>69</v>
      </c>
      <c r="C11" s="12" t="s">
        <v>57</v>
      </c>
      <c r="D11" s="111">
        <f>Semestriel!D11+Semestriel!E11</f>
        <v>500</v>
      </c>
      <c r="E11" s="111">
        <f>Semestriel!F11+Semestriel!G11</f>
        <v>657</v>
      </c>
      <c r="F11" s="126">
        <f t="shared" si="1"/>
        <v>0.314</v>
      </c>
      <c r="G11" s="111">
        <f>Semestriel!H11+Semestriel!I11</f>
        <v>941</v>
      </c>
      <c r="H11" s="121">
        <f t="shared" si="0"/>
        <v>0.43226788432267882</v>
      </c>
      <c r="I11" s="4">
        <f>Semestriel!K11+Semestriel!J11</f>
        <v>1247</v>
      </c>
      <c r="J11" s="164">
        <f>(Table_Annuel[[#This Row],[2025]]-Table_Annuel[[#This Row],[2024]])/Table_Annuel[[#This Row],[2024]]</f>
        <v>0.32518597236981933</v>
      </c>
    </row>
    <row r="12" spans="1:10" x14ac:dyDescent="0.35">
      <c r="A12" s="60" t="s">
        <v>9</v>
      </c>
      <c r="B12" s="21" t="s">
        <v>70</v>
      </c>
      <c r="C12" s="12" t="s">
        <v>57</v>
      </c>
      <c r="D12" s="112">
        <f>Semestriel!D12+Semestriel!E12</f>
        <v>3518</v>
      </c>
      <c r="E12" s="112">
        <f>Semestriel!F12+Semestriel!G12</f>
        <v>4467.8999999999996</v>
      </c>
      <c r="F12" s="126">
        <f t="shared" si="1"/>
        <v>0.27001137009664572</v>
      </c>
      <c r="G12" s="112">
        <f>Semestriel!H12+Semestriel!I12</f>
        <v>4739</v>
      </c>
      <c r="H12" s="120">
        <f t="shared" si="0"/>
        <v>6.067727567761149E-2</v>
      </c>
      <c r="I12" s="161">
        <f>+Table_Semestriel[[#This Row],[S1_2025 ]]+Table_Semestriel[[#This Row],[S2_2025]]</f>
        <v>4441</v>
      </c>
      <c r="J12" s="120">
        <f>(Table_Annuel[[#This Row],[2025]]-Table_Annuel[[#This Row],[2024]])/Table_Annuel[[#This Row],[2024]]</f>
        <v>-6.2882464654990505E-2</v>
      </c>
    </row>
    <row r="13" spans="1:10" x14ac:dyDescent="0.35">
      <c r="A13" s="80" t="s">
        <v>42</v>
      </c>
      <c r="B13" s="90"/>
      <c r="C13" s="90"/>
      <c r="D13" s="99"/>
      <c r="E13" s="99"/>
      <c r="F13" s="130"/>
      <c r="G13" s="99"/>
      <c r="H13" s="122"/>
      <c r="I13" s="76"/>
      <c r="J13" s="162"/>
    </row>
    <row r="14" spans="1:10" x14ac:dyDescent="0.35">
      <c r="A14" s="60" t="s">
        <v>10</v>
      </c>
      <c r="B14" s="59" t="s">
        <v>71</v>
      </c>
      <c r="C14" s="10" t="s">
        <v>57</v>
      </c>
      <c r="D14" s="111">
        <f>Semestriel!D14+Semestriel!E14</f>
        <v>581</v>
      </c>
      <c r="E14" s="111">
        <f>Semestriel!F14+Semestriel!G14</f>
        <v>547</v>
      </c>
      <c r="F14" s="126">
        <f>(E14/D14)/D14</f>
        <v>1.6204478597942299E-3</v>
      </c>
      <c r="G14" s="111">
        <f>Semestriel!H14+Semestriel!I14</f>
        <v>543</v>
      </c>
      <c r="H14" s="123">
        <f>(G14-E14)/E14</f>
        <v>-7.3126142595978062E-3</v>
      </c>
      <c r="I14" s="145">
        <f>Table_Semestriel[[#This Row],[S1_2025 ]]+Table_Semestriel[[#This Row],[S2_2025]]</f>
        <v>2980.8</v>
      </c>
      <c r="J14" s="120">
        <f>(Table_Annuel[[#This Row],[2025]]-Table_Annuel[[#This Row],[2024]])/Table_Annuel[[#This Row],[2024]]</f>
        <v>4.4895027624309396</v>
      </c>
    </row>
    <row r="15" spans="1:10" x14ac:dyDescent="0.35">
      <c r="A15" s="60" t="s">
        <v>11</v>
      </c>
      <c r="B15" s="21" t="s">
        <v>72</v>
      </c>
      <c r="C15" s="22" t="s">
        <v>57</v>
      </c>
      <c r="D15" s="111">
        <f>Semestriel!D15+Semestriel!E15</f>
        <v>399.29300000000001</v>
      </c>
      <c r="E15" s="111">
        <f>Semestriel!F15+Semestriel!G15</f>
        <v>396.459</v>
      </c>
      <c r="F15" s="126">
        <f>(E15/D15)/D15</f>
        <v>2.4866512938853686E-3</v>
      </c>
      <c r="G15" s="111">
        <f>Semestriel!H15+Semestriel!I15</f>
        <v>378.64500000000004</v>
      </c>
      <c r="H15" s="121">
        <f>(G15-E15)/E15</f>
        <v>-4.4932767322724325E-2</v>
      </c>
      <c r="I15" s="145">
        <f>Table_Semestriel[[#This Row],[S1_2025 ]]+Table_Semestriel[[#This Row],[S2_2025]]</f>
        <v>191</v>
      </c>
      <c r="J15" s="163">
        <f>(Table_Annuel[[#This Row],[2025]]-Table_Annuel[[#This Row],[2024]])/Table_Annuel[[#This Row],[2024]]</f>
        <v>-0.49556972890174178</v>
      </c>
    </row>
    <row r="16" spans="1:10" x14ac:dyDescent="0.35">
      <c r="A16" s="26" t="s">
        <v>99</v>
      </c>
      <c r="B16" s="21" t="s">
        <v>102</v>
      </c>
      <c r="C16" s="22" t="s">
        <v>57</v>
      </c>
      <c r="D16" s="117"/>
      <c r="E16" s="117"/>
      <c r="F16" s="131"/>
      <c r="G16" s="117"/>
      <c r="H16" s="124"/>
      <c r="I16" s="85"/>
      <c r="J16" s="165"/>
    </row>
    <row r="17" spans="1:10" x14ac:dyDescent="0.35">
      <c r="A17" s="80" t="s">
        <v>43</v>
      </c>
      <c r="B17" s="90"/>
      <c r="C17" s="90"/>
      <c r="D17" s="99"/>
      <c r="E17" s="99"/>
      <c r="F17" s="130"/>
      <c r="G17" s="99"/>
      <c r="H17" s="125"/>
      <c r="I17" s="76"/>
      <c r="J17" s="162"/>
    </row>
    <row r="18" spans="1:10" x14ac:dyDescent="0.35">
      <c r="A18" s="60" t="s">
        <v>12</v>
      </c>
      <c r="B18" s="59" t="s">
        <v>73</v>
      </c>
      <c r="C18" s="10" t="s">
        <v>57</v>
      </c>
      <c r="D18" s="111">
        <f>Semestriel!D18+Semestriel!E18</f>
        <v>10433</v>
      </c>
      <c r="E18" s="111">
        <f>Semestriel!F18+Semestriel!G18</f>
        <v>10233</v>
      </c>
      <c r="F18" s="126">
        <f>(E18-D18)/D18</f>
        <v>-1.9169941531678329E-2</v>
      </c>
      <c r="G18" s="111">
        <f>Semestriel!H18+Semestriel!I18</f>
        <v>10238</v>
      </c>
      <c r="H18" s="126">
        <f t="shared" ref="H18:H29" si="2">(G18-E18)/E18</f>
        <v>4.8861526434085798E-4</v>
      </c>
      <c r="I18" s="145">
        <f>Table_Semestriel[[#This Row],[S1_2025 ]]+Table_Semestriel[[#This Row],[S2_2025]]</f>
        <v>5584</v>
      </c>
      <c r="J18" s="120">
        <f>(Table_Annuel[[#This Row],[2025]]-Table_Annuel[[#This Row],[2024]])/Table_Annuel[[#This Row],[2024]]</f>
        <v>-0.45458097284625903</v>
      </c>
    </row>
    <row r="19" spans="1:10" x14ac:dyDescent="0.35">
      <c r="A19" s="60" t="s">
        <v>12</v>
      </c>
      <c r="B19" s="59" t="s">
        <v>73</v>
      </c>
      <c r="C19" s="11" t="s">
        <v>58</v>
      </c>
      <c r="D19" s="113">
        <f>Semestriel!D19+Semestriel!E19</f>
        <v>283</v>
      </c>
      <c r="E19" s="113">
        <f>Semestriel!F19+Semestriel!G19</f>
        <v>242</v>
      </c>
      <c r="F19" s="129">
        <f t="shared" ref="F19:F29" si="3">(E19-D19)/D19</f>
        <v>-0.14487632508833923</v>
      </c>
      <c r="G19" s="113">
        <f>Semestriel!H19+Semestriel!I19</f>
        <v>200</v>
      </c>
      <c r="H19" s="120">
        <f t="shared" si="2"/>
        <v>-0.17355371900826447</v>
      </c>
      <c r="I19" s="145">
        <f>Table_Semestriel[[#This Row],[S1_2025 ]]+Table_Semestriel[[#This Row],[S2_2025]]</f>
        <v>92</v>
      </c>
      <c r="J19" s="120">
        <f>(Table_Annuel[[#This Row],[2025]]-Table_Annuel[[#This Row],[2024]])/Table_Annuel[[#This Row],[2024]]</f>
        <v>-0.54</v>
      </c>
    </row>
    <row r="20" spans="1:10" x14ac:dyDescent="0.35">
      <c r="A20" s="60" t="s">
        <v>12</v>
      </c>
      <c r="B20" s="59" t="s">
        <v>73</v>
      </c>
      <c r="C20" s="12" t="s">
        <v>59</v>
      </c>
      <c r="D20" s="146">
        <f>Table_Trims[[#This Row],[2022_T4]]</f>
        <v>2534</v>
      </c>
      <c r="E20" s="146">
        <f>Table_Trims[[#This Row],[2023_T4]]</f>
        <v>2575</v>
      </c>
      <c r="F20" s="129">
        <f t="shared" si="3"/>
        <v>1.617995264404104E-2</v>
      </c>
      <c r="G20" s="146">
        <f>Table_Trims[[#This Row],[2024_T4]]</f>
        <v>2489</v>
      </c>
      <c r="H20" s="120">
        <f t="shared" si="2"/>
        <v>-3.3398058252427185E-2</v>
      </c>
      <c r="I20" s="155">
        <f>Table_Semestriel[[#This Row],[S2_2025]]</f>
        <v>2450</v>
      </c>
      <c r="J20" s="120">
        <f>(Table_Annuel[[#This Row],[2025]]-Table_Annuel[[#This Row],[2024]])/Table_Annuel[[#This Row],[2024]]</f>
        <v>-1.5668943350743269E-2</v>
      </c>
    </row>
    <row r="21" spans="1:10" x14ac:dyDescent="0.35">
      <c r="A21" s="60" t="s">
        <v>13</v>
      </c>
      <c r="B21" s="59" t="s">
        <v>74</v>
      </c>
      <c r="C21" s="11" t="s">
        <v>57</v>
      </c>
      <c r="D21" s="111">
        <f>Semestriel!D21+Semestriel!E21</f>
        <v>6889</v>
      </c>
      <c r="E21" s="111">
        <f>Semestriel!F21+Semestriel!G21</f>
        <v>5934</v>
      </c>
      <c r="F21" s="126">
        <f t="shared" si="3"/>
        <v>-0.13862679634199448</v>
      </c>
      <c r="G21" s="111">
        <f>Semestriel!H21+Semestriel!I21</f>
        <v>5128</v>
      </c>
      <c r="H21" s="126">
        <f t="shared" si="2"/>
        <v>-0.13582743511964948</v>
      </c>
      <c r="I21" s="145">
        <f>Table_Semestriel[[#This Row],[S1_2025 ]]+Table_Semestriel[[#This Row],[S2_2025]]</f>
        <v>2977</v>
      </c>
      <c r="J21" s="166">
        <f>(Table_Annuel[[#This Row],[2025]]-Table_Annuel[[#This Row],[2024]])/Table_Annuel[[#This Row],[2024]]</f>
        <v>-0.41946177847113886</v>
      </c>
    </row>
    <row r="22" spans="1:10" x14ac:dyDescent="0.35">
      <c r="A22" s="60" t="s">
        <v>13</v>
      </c>
      <c r="B22" s="59" t="s">
        <v>74</v>
      </c>
      <c r="C22" s="11" t="s">
        <v>58</v>
      </c>
      <c r="D22" s="113">
        <f>Semestriel!D22+Semestriel!E22</f>
        <v>166</v>
      </c>
      <c r="E22" s="113">
        <f>Semestriel!F22+Semestriel!G22</f>
        <v>118</v>
      </c>
      <c r="F22" s="129">
        <f t="shared" si="3"/>
        <v>-0.28915662650602408</v>
      </c>
      <c r="G22" s="113">
        <f>Semestriel!H22+Semestriel!I22</f>
        <v>159</v>
      </c>
      <c r="H22" s="120">
        <f t="shared" si="2"/>
        <v>0.34745762711864409</v>
      </c>
      <c r="I22" s="145">
        <f>Table_Semestriel[[#This Row],[S1_2025 ]]+Table_Semestriel[[#This Row],[S2_2025]]</f>
        <v>1926</v>
      </c>
      <c r="J22" s="120">
        <f>(Table_Annuel[[#This Row],[2025]]-Table_Annuel[[#This Row],[2024]])/Table_Annuel[[#This Row],[2024]]</f>
        <v>11.113207547169811</v>
      </c>
    </row>
    <row r="23" spans="1:10" x14ac:dyDescent="0.35">
      <c r="A23" s="60" t="s">
        <v>13</v>
      </c>
      <c r="B23" s="59" t="s">
        <v>74</v>
      </c>
      <c r="C23" s="12" t="s">
        <v>59</v>
      </c>
      <c r="D23" s="146">
        <f>Table_Trims[[#This Row],[2022_T4]]</f>
        <v>1650</v>
      </c>
      <c r="E23" s="146">
        <f>Table_Trims[[#This Row],[2023_T4]]</f>
        <v>1385</v>
      </c>
      <c r="F23" s="129">
        <f t="shared" si="3"/>
        <v>-0.16060606060606061</v>
      </c>
      <c r="G23" s="146">
        <f>Table_Trims[[#This Row],[2024_T4]]</f>
        <v>1381</v>
      </c>
      <c r="H23" s="123">
        <f t="shared" si="2"/>
        <v>-2.8880866425992778E-3</v>
      </c>
      <c r="I23" s="145">
        <f>Table_Trims[[#This Row],[2025_T4]]</f>
        <v>1216</v>
      </c>
      <c r="J23" s="164">
        <f>(Table_Annuel[[#This Row],[2025]]-Table_Annuel[[#This Row],[2024]])/Table_Annuel[[#This Row],[2024]]</f>
        <v>-0.11947863866763216</v>
      </c>
    </row>
    <row r="24" spans="1:10" x14ac:dyDescent="0.35">
      <c r="A24" s="60" t="s">
        <v>14</v>
      </c>
      <c r="B24" s="59" t="s">
        <v>75</v>
      </c>
      <c r="C24" s="11" t="s">
        <v>57</v>
      </c>
      <c r="D24" s="111">
        <f>Semestriel!D24+Semestriel!E24</f>
        <v>2329</v>
      </c>
      <c r="E24" s="111">
        <f>Semestriel!F24+Semestriel!G24</f>
        <v>2497</v>
      </c>
      <c r="F24" s="126">
        <f t="shared" si="3"/>
        <v>7.2133963074280813E-2</v>
      </c>
      <c r="G24" s="111">
        <f>Semestriel!H24+Semestriel!I24</f>
        <v>2116</v>
      </c>
      <c r="H24" s="120">
        <f t="shared" si="2"/>
        <v>-0.15258309971966361</v>
      </c>
      <c r="I24" s="145">
        <f>Table_Semestriel[[#This Row],[S1_2025 ]]+Table_Semestriel[[#This Row],[S2_2025]]</f>
        <v>944</v>
      </c>
      <c r="J24" s="120">
        <f>(Table_Annuel[[#This Row],[2025]]-Table_Annuel[[#This Row],[2024]])/Table_Annuel[[#This Row],[2024]]</f>
        <v>-0.55387523629489599</v>
      </c>
    </row>
    <row r="25" spans="1:10" x14ac:dyDescent="0.35">
      <c r="A25" s="60" t="s">
        <v>14</v>
      </c>
      <c r="B25" s="59" t="s">
        <v>75</v>
      </c>
      <c r="C25" s="11" t="s">
        <v>58</v>
      </c>
      <c r="D25" s="113">
        <f>Semestriel!D25+Semestriel!E25</f>
        <v>218</v>
      </c>
      <c r="E25" s="113">
        <f>Semestriel!F25+Semestriel!G25</f>
        <v>529</v>
      </c>
      <c r="F25" s="129">
        <f t="shared" si="3"/>
        <v>1.426605504587156</v>
      </c>
      <c r="G25" s="113">
        <f>Semestriel!H25+Semestriel!I25</f>
        <v>261</v>
      </c>
      <c r="H25" s="120">
        <f t="shared" si="2"/>
        <v>-0.50661625708884683</v>
      </c>
      <c r="I25" s="145">
        <f>Table_Semestriel[[#This Row],[S1_2025 ]]+Table_Semestriel[[#This Row],[S2_2025]]</f>
        <v>318</v>
      </c>
      <c r="J25" s="120">
        <f>(Table_Annuel[[#This Row],[2025]]-Table_Annuel[[#This Row],[2024]])/Table_Annuel[[#This Row],[2024]]</f>
        <v>0.21839080459770116</v>
      </c>
    </row>
    <row r="26" spans="1:10" x14ac:dyDescent="0.35">
      <c r="A26" s="60" t="s">
        <v>14</v>
      </c>
      <c r="B26" s="59" t="s">
        <v>75</v>
      </c>
      <c r="C26" s="12" t="s">
        <v>59</v>
      </c>
      <c r="D26" s="146">
        <f>Table_Trims[[#This Row],[2022_T4]]</f>
        <v>600</v>
      </c>
      <c r="E26" s="146">
        <f>Table_Trims[[#This Row],[2023_T4]]</f>
        <v>694</v>
      </c>
      <c r="F26" s="123">
        <f t="shared" si="3"/>
        <v>0.15666666666666668</v>
      </c>
      <c r="G26" s="146">
        <f>Table_Trims[[#This Row],[2024_T4]]</f>
        <v>514</v>
      </c>
      <c r="H26" s="120">
        <f t="shared" si="2"/>
        <v>-0.25936599423631124</v>
      </c>
      <c r="I26" s="155">
        <f>Table_Semestriel[[#This Row],[S2_2025]]</f>
        <v>528</v>
      </c>
      <c r="J26" s="164">
        <f>(Table_Annuel[[#This Row],[2025]]-Table_Annuel[[#This Row],[2024]])/Table_Annuel[[#This Row],[2024]]</f>
        <v>2.7237354085603113E-2</v>
      </c>
    </row>
    <row r="27" spans="1:10" ht="29" x14ac:dyDescent="0.35">
      <c r="A27" s="66" t="s">
        <v>15</v>
      </c>
      <c r="B27" s="59" t="s">
        <v>76</v>
      </c>
      <c r="C27" s="11" t="s">
        <v>57</v>
      </c>
      <c r="D27" s="111">
        <f>Semestriel!D27+Semestriel!E27</f>
        <v>2913</v>
      </c>
      <c r="E27" s="111">
        <f>Semestriel!F27+Semestriel!G27</f>
        <v>2931</v>
      </c>
      <c r="F27" s="126">
        <f t="shared" si="3"/>
        <v>6.1791967044284241E-3</v>
      </c>
      <c r="G27" s="111">
        <f>Semestriel!H27+Semestriel!I27</f>
        <v>2861.5</v>
      </c>
      <c r="H27" s="126">
        <f t="shared" si="2"/>
        <v>-2.3712043671102013E-2</v>
      </c>
      <c r="I27" s="145">
        <f>Table_Semestriel[[#This Row],[S1_2025 ]]+Table_Semestriel[[#This Row],[S2_2025]]</f>
        <v>1206.3</v>
      </c>
      <c r="J27" s="120">
        <f>(Table_Annuel[[#This Row],[2025]]-Table_Annuel[[#This Row],[2024]])/Table_Annuel[[#This Row],[2024]]</f>
        <v>-0.57843788222959991</v>
      </c>
    </row>
    <row r="28" spans="1:10" ht="29" x14ac:dyDescent="0.35">
      <c r="A28" s="66" t="s">
        <v>15</v>
      </c>
      <c r="B28" s="59" t="s">
        <v>76</v>
      </c>
      <c r="C28" s="11" t="s">
        <v>58</v>
      </c>
      <c r="D28" s="113">
        <f>Semestriel!D28+Semestriel!E28</f>
        <v>68</v>
      </c>
      <c r="E28" s="113">
        <f>Semestriel!F28+Semestriel!G28</f>
        <v>194.7</v>
      </c>
      <c r="F28" s="129">
        <f t="shared" si="3"/>
        <v>1.8632352941176469</v>
      </c>
      <c r="G28" s="113">
        <f>Semestriel!H28+Semestriel!I28</f>
        <v>113.9</v>
      </c>
      <c r="H28" s="120">
        <f t="shared" si="2"/>
        <v>-0.41499743194658445</v>
      </c>
      <c r="I28" s="145">
        <f>Table_Semestriel[[#This Row],[S1_2025 ]]+Table_Semestriel[[#This Row],[S2_2025]]</f>
        <v>1762.7</v>
      </c>
      <c r="J28" s="120">
        <f>(Table_Annuel[[#This Row],[2025]]-Table_Annuel[[#This Row],[2024]])/Table_Annuel[[#This Row],[2024]]</f>
        <v>14.475856014047409</v>
      </c>
    </row>
    <row r="29" spans="1:10" ht="29" x14ac:dyDescent="0.35">
      <c r="A29" s="66" t="s">
        <v>15</v>
      </c>
      <c r="B29" s="59" t="s">
        <v>76</v>
      </c>
      <c r="C29" s="12" t="s">
        <v>59</v>
      </c>
      <c r="D29" s="147">
        <f>Table_Trims[[#This Row],[2022_T4]]</f>
        <v>820</v>
      </c>
      <c r="E29" s="147">
        <f>Table_Trims[[#This Row],[2023_T4]]</f>
        <v>745</v>
      </c>
      <c r="F29" s="129">
        <f t="shared" si="3"/>
        <v>-9.1463414634146339E-2</v>
      </c>
      <c r="G29" s="146">
        <f>Table_Trims[[#This Row],[2024_T4]]</f>
        <v>826</v>
      </c>
      <c r="H29" s="120">
        <f t="shared" si="2"/>
        <v>0.1087248322147651</v>
      </c>
      <c r="I29" s="155">
        <f>Table_Semestriel[[#This Row],[S2_2025]]</f>
        <v>930</v>
      </c>
      <c r="J29" s="120">
        <f>(Table_Annuel[[#This Row],[2025]]-Table_Annuel[[#This Row],[2024]])/Table_Annuel[[#This Row],[2024]]</f>
        <v>0.12590799031476999</v>
      </c>
    </row>
    <row r="30" spans="1:10" x14ac:dyDescent="0.35">
      <c r="A30" s="80" t="s">
        <v>44</v>
      </c>
      <c r="B30" s="90"/>
      <c r="C30" s="90"/>
      <c r="D30" s="99"/>
      <c r="E30" s="99"/>
      <c r="F30" s="130"/>
      <c r="G30" s="99"/>
      <c r="H30" s="125"/>
      <c r="I30" s="76"/>
      <c r="J30" s="162"/>
    </row>
    <row r="31" spans="1:10" x14ac:dyDescent="0.35">
      <c r="A31" s="60" t="s">
        <v>16</v>
      </c>
      <c r="B31" s="59" t="s">
        <v>77</v>
      </c>
      <c r="C31" s="10" t="s">
        <v>57</v>
      </c>
      <c r="D31" s="111">
        <f>Semestriel!D31+Semestriel!E31</f>
        <v>1713.81</v>
      </c>
      <c r="E31" s="111">
        <f>Semestriel!F31+Semestriel!G31</f>
        <v>2319.71</v>
      </c>
      <c r="F31" s="126">
        <f>(E31-D31)/D31</f>
        <v>0.35353977395393893</v>
      </c>
      <c r="G31" s="111">
        <f>Semestriel!H31+Semestriel!I31</f>
        <v>2673.4500000000003</v>
      </c>
      <c r="H31" s="126">
        <f t="shared" ref="H31:H41" si="4">(G31-E31)/E31</f>
        <v>0.1524931995809822</v>
      </c>
      <c r="I31" s="145">
        <f>Table_Semestriel[[#This Row],[S1_2025 ]]+Table_Semestriel[[#This Row],[S2_2025]]</f>
        <v>484.11999999999989</v>
      </c>
      <c r="J31" s="120">
        <f>(Table_Annuel[[#This Row],[2025]]-Table_Annuel[[#This Row],[2024]])/Table_Annuel[[#This Row],[2024]]</f>
        <v>-0.8189156333576465</v>
      </c>
    </row>
    <row r="32" spans="1:10" x14ac:dyDescent="0.35">
      <c r="A32" s="60" t="s">
        <v>16</v>
      </c>
      <c r="B32" s="59" t="s">
        <v>77</v>
      </c>
      <c r="C32" s="11" t="s">
        <v>58</v>
      </c>
      <c r="D32" s="113">
        <f>Semestriel!D32+Semestriel!E32</f>
        <v>67.06</v>
      </c>
      <c r="E32" s="113">
        <f>Semestriel!F32+Semestriel!G32</f>
        <v>35.510000000000005</v>
      </c>
      <c r="F32" s="129">
        <f t="shared" ref="F32:F41" si="5">(E32-D32)/D32</f>
        <v>-0.47047420220697878</v>
      </c>
      <c r="G32" s="113">
        <f>Semestriel!H32+Semestriel!I32</f>
        <v>70.889999999999986</v>
      </c>
      <c r="H32" s="120">
        <f t="shared" si="4"/>
        <v>0.9963390594198811</v>
      </c>
      <c r="I32" s="145">
        <f>Table_Semestriel[[#This Row],[S1_2025 ]]+Table_Semestriel[[#This Row],[S2_2025]]</f>
        <v>37.46</v>
      </c>
      <c r="J32" s="120">
        <f>(Table_Annuel[[#This Row],[2025]]-Table_Annuel[[#This Row],[2024]])/Table_Annuel[[#This Row],[2024]]</f>
        <v>-0.47157568063196492</v>
      </c>
    </row>
    <row r="33" spans="1:10" x14ac:dyDescent="0.35">
      <c r="A33" s="60" t="s">
        <v>16</v>
      </c>
      <c r="B33" s="59" t="s">
        <v>77</v>
      </c>
      <c r="C33" s="12" t="s">
        <v>59</v>
      </c>
      <c r="D33" s="146">
        <f>Table_Trims[[#This Row],[2022_T4]]</f>
        <v>559</v>
      </c>
      <c r="E33" s="146">
        <f>Table_Trims[[#This Row],[2023_T4]]</f>
        <v>902.1</v>
      </c>
      <c r="F33" s="123">
        <f t="shared" si="5"/>
        <v>0.61377459749552776</v>
      </c>
      <c r="G33" s="146">
        <f>Table_Trims[[#This Row],[2024_T4]]</f>
        <v>838.24</v>
      </c>
      <c r="H33" s="123">
        <f t="shared" si="4"/>
        <v>-7.0790378006872864E-2</v>
      </c>
      <c r="I33" s="155">
        <f>Table_Semestriel[[#This Row],[S2_2025]]</f>
        <v>1343</v>
      </c>
      <c r="J33" s="164">
        <f>(Table_Annuel[[#This Row],[2025]]-Table_Annuel[[#This Row],[2024]])/Table_Annuel[[#This Row],[2024]]</f>
        <v>0.60216644397785835</v>
      </c>
    </row>
    <row r="34" spans="1:10" x14ac:dyDescent="0.35">
      <c r="A34" s="60" t="s">
        <v>17</v>
      </c>
      <c r="B34" s="59" t="s">
        <v>78</v>
      </c>
      <c r="C34" s="11" t="s">
        <v>57</v>
      </c>
      <c r="D34" s="111">
        <f>Semestriel!D34+Semestriel!E34</f>
        <v>7984</v>
      </c>
      <c r="E34" s="111">
        <f>Semestriel!F34+Semestriel!G34</f>
        <v>8212</v>
      </c>
      <c r="F34" s="126">
        <f t="shared" si="5"/>
        <v>2.8557114228456915E-2</v>
      </c>
      <c r="G34" s="111">
        <f>Semestriel!H34+Semestriel!I34</f>
        <v>8155</v>
      </c>
      <c r="H34" s="120">
        <f t="shared" si="4"/>
        <v>-6.9410618606916708E-3</v>
      </c>
      <c r="I34" s="145">
        <f>Table_Semestriel[[#This Row],[S1_2025 ]]+Table_Semestriel[[#This Row],[S2_2025]]</f>
        <v>4532.34</v>
      </c>
      <c r="J34" s="120">
        <f>(Table_Annuel[[#This Row],[2025]]-Table_Annuel[[#This Row],[2024]])/Table_Annuel[[#This Row],[2024]]</f>
        <v>-0.44422562844880442</v>
      </c>
    </row>
    <row r="35" spans="1:10" x14ac:dyDescent="0.35">
      <c r="A35" s="60" t="s">
        <v>17</v>
      </c>
      <c r="B35" s="59" t="s">
        <v>78</v>
      </c>
      <c r="C35" s="12" t="s">
        <v>59</v>
      </c>
      <c r="D35" s="146">
        <f>Table_Trims[[#This Row],[2022_T4]]</f>
        <v>843.93</v>
      </c>
      <c r="E35" s="146">
        <f>Table_Trims[[#This Row],[2023_T4]]</f>
        <v>1015.9</v>
      </c>
      <c r="F35" s="129">
        <f t="shared" si="5"/>
        <v>0.20377282476034747</v>
      </c>
      <c r="G35" s="146">
        <f>Table_Trims[[#This Row],[2024_T4]]</f>
        <v>1001.67</v>
      </c>
      <c r="H35" s="120">
        <f t="shared" si="4"/>
        <v>-1.4007284181513946E-2</v>
      </c>
      <c r="I35">
        <f>+Table_Semestriel[[#This Row],[S2_2025]]</f>
        <v>1640</v>
      </c>
      <c r="J35" s="164">
        <f>(Table_Annuel[[#This Row],[2025]]-Table_Annuel[[#This Row],[2024]])/Table_Annuel[[#This Row],[2024]]</f>
        <v>0.63726576617049535</v>
      </c>
    </row>
    <row r="36" spans="1:10" x14ac:dyDescent="0.35">
      <c r="A36" s="60" t="s">
        <v>18</v>
      </c>
      <c r="B36" s="59" t="s">
        <v>79</v>
      </c>
      <c r="C36" s="11" t="s">
        <v>57</v>
      </c>
      <c r="D36" s="111">
        <f>Semestriel!D36+Semestriel!E36</f>
        <v>4888</v>
      </c>
      <c r="E36" s="111">
        <f>Semestriel!F36+Semestriel!G36</f>
        <v>4995</v>
      </c>
      <c r="F36" s="126">
        <f t="shared" si="5"/>
        <v>2.1890343698854339E-2</v>
      </c>
      <c r="G36" s="111">
        <f>Semestriel!H36+Semestriel!I36</f>
        <v>5494</v>
      </c>
      <c r="H36" s="126">
        <f t="shared" si="4"/>
        <v>9.9899899899899905E-2</v>
      </c>
      <c r="I36" s="145">
        <f>Table_Semestriel[[#This Row],[S1_2025 ]]+Table_Semestriel[[#This Row],[S2_2025]]</f>
        <v>7775</v>
      </c>
      <c r="J36" s="120">
        <f>(Table_Annuel[[#This Row],[2025]]-Table_Annuel[[#This Row],[2024]])/Table_Annuel[[#This Row],[2024]]</f>
        <v>0.41518019657808519</v>
      </c>
    </row>
    <row r="37" spans="1:10" x14ac:dyDescent="0.35">
      <c r="A37" s="60" t="s">
        <v>18</v>
      </c>
      <c r="B37" s="59" t="s">
        <v>79</v>
      </c>
      <c r="C37" s="11" t="s">
        <v>58</v>
      </c>
      <c r="D37" s="113">
        <f>Semestriel!D37+Semestriel!E37</f>
        <v>142</v>
      </c>
      <c r="E37" s="113">
        <f>Semestriel!F37+Semestriel!G37</f>
        <v>219</v>
      </c>
      <c r="F37" s="129">
        <f t="shared" si="5"/>
        <v>0.54225352112676062</v>
      </c>
      <c r="G37" s="113">
        <f>Semestriel!H37+Semestriel!I37</f>
        <v>197</v>
      </c>
      <c r="H37" s="120">
        <f t="shared" si="4"/>
        <v>-0.1004566210045662</v>
      </c>
      <c r="I37" s="145">
        <f>Table_Semestriel[[#This Row],[S1_2025 ]]+Table_Semestriel[[#This Row],[S2_2025]]</f>
        <v>8138</v>
      </c>
      <c r="J37" s="120">
        <f>(Table_Annuel[[#This Row],[2025]]-Table_Annuel[[#This Row],[2024]])/Table_Annuel[[#This Row],[2024]]</f>
        <v>40.309644670050758</v>
      </c>
    </row>
    <row r="38" spans="1:10" x14ac:dyDescent="0.35">
      <c r="A38" s="60" t="s">
        <v>18</v>
      </c>
      <c r="B38" s="59" t="s">
        <v>79</v>
      </c>
      <c r="C38" s="12" t="s">
        <v>59</v>
      </c>
      <c r="D38" s="146">
        <f>Table_Trims[[#This Row],[2022_T4]]</f>
        <v>1240</v>
      </c>
      <c r="E38" s="146">
        <f>Table_Trims[[#This Row],[2023_T4]]</f>
        <v>1326</v>
      </c>
      <c r="F38" s="123">
        <f t="shared" si="5"/>
        <v>6.9354838709677416E-2</v>
      </c>
      <c r="G38" s="146">
        <f>Table_Trims[[#This Row],[2024_T4]]</f>
        <v>1692</v>
      </c>
      <c r="H38" s="123">
        <f t="shared" si="4"/>
        <v>0.27601809954751133</v>
      </c>
      <c r="I38" s="155">
        <f>Table_Semestriel[[#This Row],[S2_2025]]</f>
        <v>1854</v>
      </c>
      <c r="J38" s="164">
        <f>(Table_Annuel[[#This Row],[2025]]-Table_Annuel[[#This Row],[2024]])/Table_Annuel[[#This Row],[2024]]</f>
        <v>9.5744680851063829E-2</v>
      </c>
    </row>
    <row r="39" spans="1:10" x14ac:dyDescent="0.35">
      <c r="A39" s="60" t="s">
        <v>19</v>
      </c>
      <c r="B39" s="59" t="s">
        <v>80</v>
      </c>
      <c r="C39" s="11" t="s">
        <v>57</v>
      </c>
      <c r="D39" s="111">
        <f>Semestriel!D39+Semestriel!E39</f>
        <v>5061.3999999999996</v>
      </c>
      <c r="E39" s="111">
        <f>Semestriel!F39+Semestriel!G39</f>
        <v>7104.5</v>
      </c>
      <c r="F39" s="126">
        <f t="shared" si="5"/>
        <v>0.4036630181372744</v>
      </c>
      <c r="G39" s="111">
        <f>Semestriel!H39+Semestriel!I39</f>
        <v>8047</v>
      </c>
      <c r="H39" s="120">
        <f t="shared" si="4"/>
        <v>0.13266239707227814</v>
      </c>
      <c r="I39" s="145">
        <f>Table_Semestriel[[#This Row],[S1_2025 ]]+Table_Semestriel[[#This Row],[S2_2025]]</f>
        <v>5146.1000000000004</v>
      </c>
      <c r="J39" s="120">
        <f>(Table_Annuel[[#This Row],[2025]]-Table_Annuel[[#This Row],[2024]])/Table_Annuel[[#This Row],[2024]]</f>
        <v>-0.36049459425872993</v>
      </c>
    </row>
    <row r="40" spans="1:10" x14ac:dyDescent="0.35">
      <c r="A40" s="60" t="s">
        <v>19</v>
      </c>
      <c r="B40" s="59" t="s">
        <v>80</v>
      </c>
      <c r="C40" s="11" t="s">
        <v>58</v>
      </c>
      <c r="D40" s="113">
        <f>Semestriel!D40+Semestriel!E40</f>
        <v>123.6</v>
      </c>
      <c r="E40" s="113">
        <f>Semestriel!F40+Semestriel!G40</f>
        <v>307.7</v>
      </c>
      <c r="F40" s="129">
        <f t="shared" si="5"/>
        <v>1.4894822006472492</v>
      </c>
      <c r="G40" s="113">
        <f>Semestriel!H40+Semestriel!I40</f>
        <v>172.89999999999998</v>
      </c>
      <c r="H40" s="120">
        <f t="shared" si="4"/>
        <v>-0.4380890477738057</v>
      </c>
      <c r="I40" s="145">
        <f>Table_Semestriel[[#This Row],[S1_2025 ]]+Table_Semestriel[[#This Row],[S2_2025]]</f>
        <v>-606.6</v>
      </c>
      <c r="J40" s="120">
        <f>(Table_Annuel[[#This Row],[2025]]-Table_Annuel[[#This Row],[2024]])/Table_Annuel[[#This Row],[2024]]</f>
        <v>-4.5083863504916142</v>
      </c>
    </row>
    <row r="41" spans="1:10" x14ac:dyDescent="0.35">
      <c r="A41" s="60" t="s">
        <v>19</v>
      </c>
      <c r="B41" s="59" t="s">
        <v>80</v>
      </c>
      <c r="C41" s="12" t="s">
        <v>59</v>
      </c>
      <c r="D41" s="146">
        <f>Table_Trims[[#This Row],[2022_T4]]</f>
        <v>1700.4</v>
      </c>
      <c r="E41" s="146">
        <f>Table_Trims[[#This Row],[2023_T4]]</f>
        <v>2212.6999999999998</v>
      </c>
      <c r="F41" s="129">
        <f t="shared" si="5"/>
        <v>0.3012820512820511</v>
      </c>
      <c r="G41" s="146">
        <f>Table_Trims[[#This Row],[2024_T4]]</f>
        <v>2245.5</v>
      </c>
      <c r="H41" s="120">
        <f t="shared" si="4"/>
        <v>1.4823518777963658E-2</v>
      </c>
      <c r="I41" s="155">
        <f>Table_Semestriel[[#This Row],[S2_2025]]</f>
        <v>3662</v>
      </c>
      <c r="J41" s="120">
        <f>(Table_Annuel[[#This Row],[2025]]-Table_Annuel[[#This Row],[2024]])/Table_Annuel[[#This Row],[2024]]</f>
        <v>0.63081718993542646</v>
      </c>
    </row>
    <row r="42" spans="1:10" x14ac:dyDescent="0.35">
      <c r="A42" s="68" t="s">
        <v>100</v>
      </c>
      <c r="B42" s="59" t="s">
        <v>101</v>
      </c>
      <c r="C42" s="10" t="s">
        <v>57</v>
      </c>
      <c r="D42" s="114"/>
      <c r="E42" s="114"/>
      <c r="F42" s="132"/>
      <c r="G42" s="114"/>
      <c r="H42" s="127"/>
      <c r="I42" s="98">
        <v>15165</v>
      </c>
      <c r="J42" s="166"/>
    </row>
    <row r="43" spans="1:10" x14ac:dyDescent="0.35">
      <c r="A43" s="68" t="s">
        <v>100</v>
      </c>
      <c r="B43" s="59" t="s">
        <v>101</v>
      </c>
      <c r="C43" s="11" t="s">
        <v>58</v>
      </c>
      <c r="D43" s="115"/>
      <c r="E43" s="115"/>
      <c r="F43" s="133"/>
      <c r="G43" s="115"/>
      <c r="H43" s="124"/>
      <c r="I43">
        <v>783</v>
      </c>
      <c r="J43" s="120"/>
    </row>
    <row r="44" spans="1:10" x14ac:dyDescent="0.35">
      <c r="A44" s="68" t="s">
        <v>100</v>
      </c>
      <c r="B44" s="59" t="s">
        <v>101</v>
      </c>
      <c r="C44" s="12" t="s">
        <v>59</v>
      </c>
      <c r="D44" s="116"/>
      <c r="E44" s="116"/>
      <c r="F44" s="133"/>
      <c r="G44" s="115"/>
      <c r="H44" s="124"/>
      <c r="I44">
        <v>156</v>
      </c>
      <c r="J44" s="120"/>
    </row>
    <row r="45" spans="1:10" x14ac:dyDescent="0.35">
      <c r="A45" s="80" t="s">
        <v>45</v>
      </c>
      <c r="B45" s="90"/>
      <c r="C45" s="90"/>
      <c r="D45" s="99"/>
      <c r="E45" s="99"/>
      <c r="F45" s="130"/>
      <c r="G45" s="99"/>
      <c r="H45" s="122"/>
      <c r="I45" s="76"/>
      <c r="J45" s="162"/>
    </row>
    <row r="46" spans="1:10" x14ac:dyDescent="0.35">
      <c r="A46" s="60" t="s">
        <v>20</v>
      </c>
      <c r="B46" s="59" t="s">
        <v>81</v>
      </c>
      <c r="C46" s="10" t="s">
        <v>57</v>
      </c>
      <c r="D46" s="111">
        <f>Semestriel!D46+Semestriel!E46</f>
        <v>13946.83</v>
      </c>
      <c r="E46" s="111">
        <f>Semestriel!F46+Semestriel!G46</f>
        <v>15800.079999999998</v>
      </c>
      <c r="F46" s="126">
        <f>(E46-D46)/D46</f>
        <v>0.13287965795811651</v>
      </c>
      <c r="G46" s="111">
        <f>Semestriel!H46+Semestriel!I46</f>
        <v>16418</v>
      </c>
      <c r="H46" s="120">
        <f>(G46-E46)/E46</f>
        <v>3.910866274094827E-2</v>
      </c>
      <c r="I46" s="4">
        <f>Semestriel!K46+Semestriel!J46</f>
        <v>18534</v>
      </c>
      <c r="J46" s="120">
        <f>(Table_Annuel[[#This Row],[2025]]-Table_Annuel[[#This Row],[2024]])/Table_Annuel[[#This Row],[2024]]</f>
        <v>0.12888293336581799</v>
      </c>
    </row>
    <row r="47" spans="1:10" x14ac:dyDescent="0.35">
      <c r="A47" s="60" t="s">
        <v>20</v>
      </c>
      <c r="B47" s="59" t="s">
        <v>81</v>
      </c>
      <c r="C47" s="11" t="s">
        <v>58</v>
      </c>
      <c r="D47" s="113">
        <f>Semestriel!D47+Semestriel!E47</f>
        <v>1173.3499999999999</v>
      </c>
      <c r="E47" s="113">
        <f>Semestriel!F47+Semestriel!G47</f>
        <v>1218.95</v>
      </c>
      <c r="F47" s="129">
        <f t="shared" ref="F47:F48" si="6">(E47-D47)/D47</f>
        <v>3.8863084331188597E-2</v>
      </c>
      <c r="G47" s="113">
        <f>Semestriel!H47+Semestriel!I47</f>
        <v>910</v>
      </c>
      <c r="H47" s="120">
        <f>(G47-E47)/E47</f>
        <v>-0.25345584314368924</v>
      </c>
      <c r="I47" s="25">
        <f>Semestriel!K47+Semestriel!J47</f>
        <v>1206</v>
      </c>
      <c r="J47" s="120">
        <f>(Table_Annuel[[#This Row],[2025]]-Table_Annuel[[#This Row],[2024]])/Table_Annuel[[#This Row],[2024]]</f>
        <v>0.32527472527472528</v>
      </c>
    </row>
    <row r="48" spans="1:10" x14ac:dyDescent="0.35">
      <c r="A48" s="60" t="s">
        <v>20</v>
      </c>
      <c r="B48" s="59" t="s">
        <v>81</v>
      </c>
      <c r="C48" s="12" t="s">
        <v>59</v>
      </c>
      <c r="D48" s="147">
        <f>Table_Trims[[#This Row],[2022_T4]]</f>
        <v>108</v>
      </c>
      <c r="E48" s="147">
        <f>Table_Trims[[#This Row],[2023_T4]]</f>
        <v>59</v>
      </c>
      <c r="F48" s="123">
        <f t="shared" si="6"/>
        <v>-0.45370370370370372</v>
      </c>
      <c r="G48" s="146">
        <f>Table_Trims[[#This Row],[2024_T4]]</f>
        <v>110</v>
      </c>
      <c r="H48" s="123">
        <f>(G48-E48)/E48</f>
        <v>0.86440677966101698</v>
      </c>
      <c r="I48" s="8">
        <f>Table_Trims[[#This Row],[2025_T4]]</f>
        <v>0</v>
      </c>
      <c r="J48" s="120">
        <f>(Table_Annuel[[#This Row],[2025]]-Table_Annuel[[#This Row],[2024]])/Table_Annuel[[#This Row],[2024]]</f>
        <v>-1</v>
      </c>
    </row>
    <row r="49" spans="1:10" x14ac:dyDescent="0.35">
      <c r="A49" s="80" t="s">
        <v>103</v>
      </c>
      <c r="B49" s="90"/>
      <c r="C49" s="90"/>
      <c r="D49" s="99"/>
      <c r="E49" s="99"/>
      <c r="F49" s="130"/>
      <c r="G49" s="99"/>
      <c r="H49" s="128"/>
      <c r="I49" s="76"/>
      <c r="J49" s="162"/>
    </row>
    <row r="50" spans="1:10" x14ac:dyDescent="0.35">
      <c r="A50" s="60" t="s">
        <v>21</v>
      </c>
      <c r="B50" s="59" t="s">
        <v>82</v>
      </c>
      <c r="C50" s="10" t="s">
        <v>57</v>
      </c>
      <c r="D50" s="111">
        <f>Semestriel!D50+Semestriel!E50</f>
        <v>13605</v>
      </c>
      <c r="E50" s="111">
        <f>Semestriel!F50+Semestriel!G50</f>
        <v>13192</v>
      </c>
      <c r="F50" s="126">
        <f>(E50-D50)/D50</f>
        <v>-3.0356486585814038E-2</v>
      </c>
      <c r="G50" s="111">
        <f>Semestriel!H50+Semestriel!I50</f>
        <v>10878</v>
      </c>
      <c r="H50" s="126">
        <f>(G50-E50)/E50</f>
        <v>-0.17540933899332928</v>
      </c>
      <c r="I50" s="145">
        <f>Table_Semestriel[[#This Row],[S1_2025 ]]+Table_Semestriel[[#This Row],[S2_2025]]</f>
        <v>15187</v>
      </c>
      <c r="J50" s="120">
        <f>(Table_Annuel[[#This Row],[2025]]-Table_Annuel[[#This Row],[2024]])/Table_Annuel[[#This Row],[2024]]</f>
        <v>0.39612061040632468</v>
      </c>
    </row>
    <row r="51" spans="1:10" x14ac:dyDescent="0.35">
      <c r="A51" s="60" t="s">
        <v>21</v>
      </c>
      <c r="B51" s="59" t="s">
        <v>82</v>
      </c>
      <c r="C51" s="11" t="s">
        <v>58</v>
      </c>
      <c r="D51" s="113">
        <f>Semestriel!D51+Semestriel!E51</f>
        <v>242</v>
      </c>
      <c r="E51" s="113">
        <f>Semestriel!F51+Semestriel!G51</f>
        <v>343</v>
      </c>
      <c r="F51" s="129">
        <f t="shared" ref="F51:F52" si="7">(E51-D51)/D51</f>
        <v>0.41735537190082644</v>
      </c>
      <c r="G51" s="113">
        <f>Semestriel!H51+Semestriel!I51</f>
        <v>293</v>
      </c>
      <c r="H51" s="120">
        <f>(G51-E51)/E51</f>
        <v>-0.1457725947521866</v>
      </c>
      <c r="I51" s="145">
        <f>Table_Semestriel[[#This Row],[S1_2025 ]]+Table_Semestriel[[#This Row],[S2_2025]]</f>
        <v>664</v>
      </c>
      <c r="J51" s="120">
        <f>(Table_Annuel[[#This Row],[2025]]-Table_Annuel[[#This Row],[2024]])/Table_Annuel[[#This Row],[2024]]</f>
        <v>1.2662116040955631</v>
      </c>
    </row>
    <row r="52" spans="1:10" x14ac:dyDescent="0.35">
      <c r="A52" s="60" t="s">
        <v>21</v>
      </c>
      <c r="B52" s="59" t="s">
        <v>82</v>
      </c>
      <c r="C52" s="12" t="s">
        <v>59</v>
      </c>
      <c r="D52" s="147">
        <f>Table_Trims[[#This Row],[2022_T4]]</f>
        <v>3176.12</v>
      </c>
      <c r="E52" s="147">
        <f>Table_Trims[[#This Row],[2023_T4]]</f>
        <v>3789</v>
      </c>
      <c r="F52" s="123">
        <f t="shared" si="7"/>
        <v>0.19296500132236821</v>
      </c>
      <c r="G52" s="146">
        <f>Table_Trims[[#This Row],[2024_T4]]</f>
        <v>3973</v>
      </c>
      <c r="H52" s="123">
        <f>(G52-E52)/E52</f>
        <v>4.8561625758775401E-2</v>
      </c>
      <c r="I52" s="156">
        <f>Table_Semestriel[[#This Row],[S2_2025]]</f>
        <v>4606</v>
      </c>
      <c r="J52" s="120">
        <f>(Table_Annuel[[#This Row],[2025]]-Table_Annuel[[#This Row],[2024]])/Table_Annuel[[#This Row],[2024]]</f>
        <v>0.15932544676566826</v>
      </c>
    </row>
    <row r="53" spans="1:10" x14ac:dyDescent="0.35">
      <c r="A53" s="80" t="s">
        <v>46</v>
      </c>
      <c r="B53" s="90"/>
      <c r="C53" s="90"/>
      <c r="D53" s="99"/>
      <c r="E53" s="99"/>
      <c r="F53" s="130"/>
      <c r="G53" s="99"/>
      <c r="H53" s="122"/>
      <c r="I53" s="76"/>
      <c r="J53" s="162"/>
    </row>
    <row r="54" spans="1:10" x14ac:dyDescent="0.35">
      <c r="A54" s="60" t="s">
        <v>22</v>
      </c>
      <c r="B54" s="59" t="s">
        <v>46</v>
      </c>
      <c r="C54" s="10" t="s">
        <v>57</v>
      </c>
      <c r="D54" s="111">
        <f>Semestriel!D54+Semestriel!E54</f>
        <v>9510</v>
      </c>
      <c r="E54" s="111">
        <f>Semestriel!F54+Semestriel!G54</f>
        <v>8257</v>
      </c>
      <c r="F54" s="126">
        <f>(E54-D54)/D54</f>
        <v>-0.13175604626708728</v>
      </c>
      <c r="G54" s="111">
        <f>Semestriel!H54+Semestriel!I54</f>
        <v>8773</v>
      </c>
      <c r="H54" s="120">
        <f>(G54-E54)/E54</f>
        <v>6.2492430664890394E-2</v>
      </c>
      <c r="I54" s="145">
        <f>Table_Semestriel[[#This Row],[S1_2025 ]]+Table_Semestriel[[#This Row],[S2_2025]]</f>
        <v>7916</v>
      </c>
      <c r="J54" s="120">
        <f>(Table_Annuel[[#This Row],[2025]]-Table_Annuel[[#This Row],[2024]])/Table_Annuel[[#This Row],[2024]]</f>
        <v>-9.768608229795965E-2</v>
      </c>
    </row>
    <row r="55" spans="1:10" x14ac:dyDescent="0.35">
      <c r="A55" s="60" t="s">
        <v>22</v>
      </c>
      <c r="B55" s="59" t="s">
        <v>46</v>
      </c>
      <c r="C55" s="11" t="s">
        <v>58</v>
      </c>
      <c r="D55" s="113">
        <f>Semestriel!D55+Semestriel!E55</f>
        <v>497.40000000000003</v>
      </c>
      <c r="E55" s="113">
        <f>Semestriel!F55+Semestriel!G55</f>
        <v>355.59999999999997</v>
      </c>
      <c r="F55" s="129">
        <f t="shared" ref="F55:F58" si="8">(E55-D55)/D55</f>
        <v>-0.28508242862887023</v>
      </c>
      <c r="G55" s="113">
        <f>Semestriel!H55+Semestriel!I55</f>
        <v>534.5</v>
      </c>
      <c r="H55" s="120">
        <f>(G55-E55)/E55</f>
        <v>0.50309336332958399</v>
      </c>
      <c r="I55" s="145">
        <f>Table_Semestriel[[#This Row],[S1_2025 ]]+Table_Semestriel[[#This Row],[S2_2025]]</f>
        <v>2554</v>
      </c>
      <c r="J55" s="120">
        <f>(Table_Annuel[[#This Row],[2025]]-Table_Annuel[[#This Row],[2024]])/Table_Annuel[[#This Row],[2024]]</f>
        <v>3.7782974742750235</v>
      </c>
    </row>
    <row r="56" spans="1:10" x14ac:dyDescent="0.35">
      <c r="A56" s="60" t="s">
        <v>22</v>
      </c>
      <c r="B56" s="59" t="s">
        <v>46</v>
      </c>
      <c r="C56" s="12" t="s">
        <v>59</v>
      </c>
      <c r="D56" s="146">
        <f>Table_Trims[[#This Row],[2022_T4]]</f>
        <v>0</v>
      </c>
      <c r="E56" s="146">
        <f>Table_Trims[[#This Row],[2023_T4]]</f>
        <v>0</v>
      </c>
      <c r="F56" s="123" t="e">
        <f t="shared" si="8"/>
        <v>#DIV/0!</v>
      </c>
      <c r="G56" s="146">
        <f>Table_Trims[[#This Row],[2024_T4]]</f>
        <v>0</v>
      </c>
      <c r="H56" s="120" t="e">
        <f>(G56-E56)/E56</f>
        <v>#DIV/0!</v>
      </c>
      <c r="I56" s="145">
        <f>Table_Trims[[#This Row],[2025_T4]]</f>
        <v>0</v>
      </c>
      <c r="J56" s="164" t="e">
        <f>(Table_Annuel[[#This Row],[2025]]-Table_Annuel[[#This Row],[2024]])/Table_Annuel[[#This Row],[2024]]</f>
        <v>#DIV/0!</v>
      </c>
    </row>
    <row r="57" spans="1:10" x14ac:dyDescent="0.35">
      <c r="A57" s="60" t="s">
        <v>23</v>
      </c>
      <c r="B57" s="59" t="s">
        <v>83</v>
      </c>
      <c r="C57" s="11" t="s">
        <v>57</v>
      </c>
      <c r="D57" s="111">
        <f>Semestriel!D57+Semestriel!E57</f>
        <v>19717.5</v>
      </c>
      <c r="E57" s="111">
        <f>Semestriel!F57+Semestriel!G57</f>
        <v>16933.154999999999</v>
      </c>
      <c r="F57" s="126">
        <f t="shared" si="8"/>
        <v>-0.14121186763027774</v>
      </c>
      <c r="G57" s="111">
        <f>Semestriel!H57+Semestriel!I57</f>
        <v>16750.97</v>
      </c>
      <c r="H57" s="120">
        <f>(G57-E57)/E57</f>
        <v>-1.0759070002016617E-2</v>
      </c>
      <c r="I57" s="145">
        <f>Table_Semestriel[[#This Row],[S1_2025 ]]+Table_Semestriel[[#This Row],[S2_2025]]</f>
        <v>12801.547</v>
      </c>
      <c r="J57" s="120">
        <f>(Table_Annuel[[#This Row],[2025]]-Table_Annuel[[#This Row],[2024]])/Table_Annuel[[#This Row],[2024]]</f>
        <v>-0.23577279405312054</v>
      </c>
    </row>
    <row r="58" spans="1:10" x14ac:dyDescent="0.35">
      <c r="A58" s="60" t="s">
        <v>23</v>
      </c>
      <c r="B58" s="59" t="s">
        <v>83</v>
      </c>
      <c r="C58" s="12" t="s">
        <v>59</v>
      </c>
      <c r="D58" s="147">
        <f>Table_Trims[[#This Row],[2022_T4]]</f>
        <v>123</v>
      </c>
      <c r="E58" s="147">
        <f>Table_Trims[[#This Row],[2023_T4]]</f>
        <v>214</v>
      </c>
      <c r="F58" s="123">
        <f t="shared" si="8"/>
        <v>0.73983739837398377</v>
      </c>
      <c r="G58" s="146">
        <f>Table_Trims[[#This Row],[2024_T4]]</f>
        <v>129</v>
      </c>
      <c r="H58" s="120">
        <f>(G58-E58)/E58</f>
        <v>-0.39719626168224298</v>
      </c>
      <c r="I58" s="155">
        <f>Table_Semestriel[[#This Row],[S2_2025]]</f>
        <v>40</v>
      </c>
      <c r="J58" s="120">
        <f>(Table_Annuel[[#This Row],[2025]]-Table_Annuel[[#This Row],[2024]])/Table_Annuel[[#This Row],[2024]]</f>
        <v>-0.68992248062015504</v>
      </c>
    </row>
    <row r="59" spans="1:10" x14ac:dyDescent="0.35">
      <c r="A59" s="80" t="s">
        <v>47</v>
      </c>
      <c r="B59" s="90"/>
      <c r="C59" s="90"/>
      <c r="D59" s="99"/>
      <c r="E59" s="99"/>
      <c r="F59" s="130"/>
      <c r="G59" s="99"/>
      <c r="H59" s="125"/>
      <c r="I59" s="76"/>
      <c r="J59" s="162"/>
    </row>
    <row r="60" spans="1:10" x14ac:dyDescent="0.35">
      <c r="A60" s="60" t="s">
        <v>24</v>
      </c>
      <c r="B60" s="59" t="s">
        <v>84</v>
      </c>
      <c r="C60" s="10" t="s">
        <v>57</v>
      </c>
      <c r="D60" s="111">
        <f>Semestriel!D60+Semestriel!E60</f>
        <v>2792</v>
      </c>
      <c r="E60" s="111">
        <f>Semestriel!F60+Semestriel!G60</f>
        <v>3123</v>
      </c>
      <c r="F60" s="126">
        <f>(E60-D60)/D60</f>
        <v>0.11855300859598854</v>
      </c>
      <c r="G60" s="111">
        <f>Semestriel!H60+Semestriel!I60</f>
        <v>3117</v>
      </c>
      <c r="H60" s="126">
        <f>(G60-E60)/E60</f>
        <v>-1.9212295869356388E-3</v>
      </c>
      <c r="I60" s="145">
        <f>Table_Semestriel[[#This Row],[S1_2025 ]]+Table_Semestriel[[#This Row],[S2_2025]]</f>
        <v>1334</v>
      </c>
      <c r="J60" s="120">
        <f>(Table_Annuel[[#This Row],[2025]]-Table_Annuel[[#This Row],[2024]])/Table_Annuel[[#This Row],[2024]]</f>
        <v>-0.57202438241899267</v>
      </c>
    </row>
    <row r="61" spans="1:10" x14ac:dyDescent="0.35">
      <c r="A61" s="60" t="s">
        <v>24</v>
      </c>
      <c r="B61" s="59" t="s">
        <v>84</v>
      </c>
      <c r="C61" s="11" t="s">
        <v>58</v>
      </c>
      <c r="D61" s="113">
        <f>Semestriel!D61+Semestriel!E61</f>
        <v>59</v>
      </c>
      <c r="E61" s="113">
        <f>Semestriel!F61+Semestriel!G61</f>
        <v>89</v>
      </c>
      <c r="F61" s="129">
        <f t="shared" ref="F61:F62" si="9">(E61-D61)/D61</f>
        <v>0.50847457627118642</v>
      </c>
      <c r="G61" s="113">
        <f>Semestriel!H61+Semestriel!I61</f>
        <v>90</v>
      </c>
      <c r="H61" s="120">
        <f>(G61-E61)/E61</f>
        <v>1.1235955056179775E-2</v>
      </c>
      <c r="I61" s="145">
        <f>Table_Semestriel[[#This Row],[S1_2025 ]]+Table_Semestriel[[#This Row],[S2_2025]]</f>
        <v>4370</v>
      </c>
      <c r="J61" s="120">
        <f>(Table_Annuel[[#This Row],[2025]]-Table_Annuel[[#This Row],[2024]])/Table_Annuel[[#This Row],[2024]]</f>
        <v>47.555555555555557</v>
      </c>
    </row>
    <row r="62" spans="1:10" x14ac:dyDescent="0.35">
      <c r="A62" s="60" t="s">
        <v>24</v>
      </c>
      <c r="B62" s="59" t="s">
        <v>84</v>
      </c>
      <c r="C62" s="12" t="s">
        <v>59</v>
      </c>
      <c r="D62" s="147">
        <f>Table_Trims[[#This Row],[2022_T4]]</f>
        <v>145.1</v>
      </c>
      <c r="E62" s="147">
        <f>Table_Trims[[#This Row],[2023_T4]]</f>
        <v>123.8</v>
      </c>
      <c r="F62" s="123">
        <f t="shared" si="9"/>
        <v>-0.14679531357684356</v>
      </c>
      <c r="G62" s="146">
        <f>Table_Trims[[#This Row],[2024_T4]]</f>
        <v>148.19999999999999</v>
      </c>
      <c r="H62" s="120">
        <f>(G62-E62)/E62</f>
        <v>0.19709208400646197</v>
      </c>
      <c r="I62" s="145">
        <f>Table_Trims[[#This Row],[2025_T4]]</f>
        <v>172.5</v>
      </c>
      <c r="J62" s="120">
        <f>(Table_Annuel[[#This Row],[2025]]-Table_Annuel[[#This Row],[2024]])/Table_Annuel[[#This Row],[2024]]</f>
        <v>0.16396761133603246</v>
      </c>
    </row>
    <row r="63" spans="1:10" x14ac:dyDescent="0.35">
      <c r="A63" s="80" t="s">
        <v>48</v>
      </c>
      <c r="B63" s="90"/>
      <c r="C63" s="90"/>
      <c r="D63" s="99"/>
      <c r="E63" s="99"/>
      <c r="F63" s="130"/>
      <c r="G63" s="99"/>
      <c r="H63" s="122"/>
      <c r="I63" s="76"/>
      <c r="J63" s="162"/>
    </row>
    <row r="64" spans="1:10" x14ac:dyDescent="0.35">
      <c r="A64" s="60" t="s">
        <v>25</v>
      </c>
      <c r="B64" s="59" t="s">
        <v>85</v>
      </c>
      <c r="C64" s="10" t="s">
        <v>57</v>
      </c>
      <c r="D64" s="111">
        <f>Semestriel!D64+Semestriel!E64</f>
        <v>1036</v>
      </c>
      <c r="E64" s="111">
        <f>Semestriel!F64+Semestriel!G64</f>
        <v>1174</v>
      </c>
      <c r="F64" s="126">
        <f>(E64-D64)/D64</f>
        <v>0.13320463320463322</v>
      </c>
      <c r="G64" s="111">
        <f>Semestriel!H64+Semestriel!I64</f>
        <v>1264</v>
      </c>
      <c r="H64" s="120">
        <f>(G64-E64)/E64</f>
        <v>7.6660988074957415E-2</v>
      </c>
      <c r="I64" s="145">
        <f>Table_Semestriel[[#This Row],[S1_2025 ]]+Table_Semestriel[[#This Row],[S2_2025]]</f>
        <v>8235.402</v>
      </c>
      <c r="J64" s="120">
        <f>(Table_Annuel[[#This Row],[2025]]-Table_Annuel[[#This Row],[2024]])/Table_Annuel[[#This Row],[2024]]</f>
        <v>5.5153496835443034</v>
      </c>
    </row>
    <row r="65" spans="1:10" x14ac:dyDescent="0.35">
      <c r="A65" s="60" t="s">
        <v>25</v>
      </c>
      <c r="B65" s="59" t="s">
        <v>85</v>
      </c>
      <c r="C65" s="11" t="s">
        <v>58</v>
      </c>
      <c r="D65" s="113">
        <f>Semestriel!D65+Semestriel!E65</f>
        <v>93</v>
      </c>
      <c r="E65" s="113">
        <f>Semestriel!F65+Semestriel!G65</f>
        <v>168</v>
      </c>
      <c r="F65" s="129">
        <f t="shared" ref="F65:F112" si="10">(E65-D65)/D65</f>
        <v>0.80645161290322576</v>
      </c>
      <c r="G65" s="113">
        <f>Semestriel!H65+Semestriel!I65</f>
        <v>134</v>
      </c>
      <c r="H65" s="120">
        <f>(G65-E65)/E65</f>
        <v>-0.20238095238095238</v>
      </c>
      <c r="I65" s="145">
        <f>Table_Semestriel[[#This Row],[S1_2025 ]]+Table_Semestriel[[#This Row],[S2_2025]]</f>
        <v>-290.65700000000004</v>
      </c>
      <c r="J65" s="120">
        <f>(Table_Annuel[[#This Row],[2025]]-Table_Annuel[[#This Row],[2024]])/Table_Annuel[[#This Row],[2024]]</f>
        <v>-3.1690820895522389</v>
      </c>
    </row>
    <row r="66" spans="1:10" x14ac:dyDescent="0.35">
      <c r="A66" s="60" t="s">
        <v>25</v>
      </c>
      <c r="B66" s="59" t="s">
        <v>85</v>
      </c>
      <c r="C66" s="12" t="s">
        <v>59</v>
      </c>
      <c r="D66" s="147">
        <f>Table_Trims[[#This Row],[2022_T4]]</f>
        <v>68.400000000000006</v>
      </c>
      <c r="E66" s="147">
        <f>Table_Trims[[#This Row],[2023_T4]]</f>
        <v>79.400000000000006</v>
      </c>
      <c r="F66" s="129">
        <f t="shared" si="10"/>
        <v>0.16081871345029239</v>
      </c>
      <c r="G66" s="146">
        <f>Table_Trims[[#This Row],[2024_T4]]</f>
        <v>77.7</v>
      </c>
      <c r="H66" s="120">
        <f>(G66-E66)/E66</f>
        <v>-2.1410579345088197E-2</v>
      </c>
      <c r="I66" s="145">
        <f>Table_Trims[[#This Row],[2025_T4]]</f>
        <v>104.5</v>
      </c>
      <c r="J66" s="120">
        <f>(Table_Annuel[[#This Row],[2025]]-Table_Annuel[[#This Row],[2024]])/Table_Annuel[[#This Row],[2024]]</f>
        <v>0.34491634491634487</v>
      </c>
    </row>
    <row r="67" spans="1:10" x14ac:dyDescent="0.35">
      <c r="A67" s="80" t="s">
        <v>49</v>
      </c>
      <c r="B67" s="90"/>
      <c r="C67" s="90"/>
      <c r="D67" s="99"/>
      <c r="E67" s="99"/>
      <c r="F67" s="122"/>
      <c r="G67" s="89"/>
      <c r="H67" s="125"/>
      <c r="I67" s="76"/>
      <c r="J67" s="162"/>
    </row>
    <row r="68" spans="1:10" x14ac:dyDescent="0.35">
      <c r="A68" s="60" t="s">
        <v>26</v>
      </c>
      <c r="B68" s="59" t="s">
        <v>86</v>
      </c>
      <c r="C68" s="10" t="s">
        <v>57</v>
      </c>
      <c r="D68" s="114"/>
      <c r="E68" s="111">
        <f>Semestriel!F68+Semestriel!G68</f>
        <v>577</v>
      </c>
      <c r="F68" s="127"/>
      <c r="G68" s="111">
        <f>Semestriel!H68+Semestriel!I68</f>
        <v>2327</v>
      </c>
      <c r="H68" s="126">
        <f>(G68-E68)/E68</f>
        <v>3.0329289428076258</v>
      </c>
      <c r="I68" s="145">
        <f>Table_Semestriel[[#This Row],[S1_2025 ]]+Table_Semestriel[[#This Row],[S2_2025]]</f>
        <v>1388.2</v>
      </c>
      <c r="J68" s="120">
        <f>(Table_Annuel[[#This Row],[2025]]-Table_Annuel[[#This Row],[2024]])/Table_Annuel[[#This Row],[2024]]</f>
        <v>-0.40343790287924364</v>
      </c>
    </row>
    <row r="69" spans="1:10" x14ac:dyDescent="0.35">
      <c r="A69" s="60" t="s">
        <v>26</v>
      </c>
      <c r="B69" s="59" t="s">
        <v>86</v>
      </c>
      <c r="C69" s="11" t="s">
        <v>58</v>
      </c>
      <c r="D69" s="115"/>
      <c r="E69" s="113">
        <f>Semestriel!F69+Semestriel!G69</f>
        <v>24</v>
      </c>
      <c r="F69" s="134"/>
      <c r="G69" s="113">
        <f>Semestriel!H69+Semestriel!I69</f>
        <v>108</v>
      </c>
      <c r="H69" s="120">
        <f>(G69-E69)/E69</f>
        <v>3.5</v>
      </c>
      <c r="I69" s="145">
        <f>Table_Semestriel[[#This Row],[S1_2025 ]]+Table_Semestriel[[#This Row],[S2_2025]]</f>
        <v>22</v>
      </c>
      <c r="J69" s="120">
        <f>(Table_Annuel[[#This Row],[2025]]-Table_Annuel[[#This Row],[2024]])/Table_Annuel[[#This Row],[2024]]</f>
        <v>-0.79629629629629628</v>
      </c>
    </row>
    <row r="70" spans="1:10" x14ac:dyDescent="0.35">
      <c r="A70" s="60" t="s">
        <v>26</v>
      </c>
      <c r="B70" s="59" t="s">
        <v>86</v>
      </c>
      <c r="C70" s="12" t="s">
        <v>59</v>
      </c>
      <c r="D70" s="116"/>
      <c r="E70" s="147">
        <f>Table_Trims[[#This Row],[2023_T4]]</f>
        <v>1063</v>
      </c>
      <c r="F70" s="135"/>
      <c r="G70" s="113">
        <f>Semestriel!H70+Semestriel!I70</f>
        <v>0</v>
      </c>
      <c r="H70" s="120">
        <f>(G70-E70)/E70</f>
        <v>-1</v>
      </c>
      <c r="I70" s="155">
        <f>Table_Semestriel[[#This Row],[S2_2025]]</f>
        <v>1012</v>
      </c>
      <c r="J70" s="120"/>
    </row>
    <row r="71" spans="1:10" x14ac:dyDescent="0.35">
      <c r="A71" s="80" t="s">
        <v>50</v>
      </c>
      <c r="B71" s="90"/>
      <c r="C71" s="90"/>
      <c r="D71" s="99"/>
      <c r="E71" s="89"/>
      <c r="F71" s="125"/>
      <c r="G71" s="89"/>
      <c r="H71" s="122"/>
      <c r="I71" s="75"/>
      <c r="J71" s="162"/>
    </row>
    <row r="72" spans="1:10" x14ac:dyDescent="0.35">
      <c r="A72" s="60" t="s">
        <v>27</v>
      </c>
      <c r="B72" s="59" t="s">
        <v>87</v>
      </c>
      <c r="C72" s="10" t="s">
        <v>57</v>
      </c>
      <c r="D72" s="111">
        <f>Semestriel!D72+Semestriel!E72</f>
        <v>3948</v>
      </c>
      <c r="E72" s="111">
        <f>Semestriel!F72+Semestriel!G72</f>
        <v>4321</v>
      </c>
      <c r="F72" s="126">
        <f t="shared" si="10"/>
        <v>9.4478216818642352E-2</v>
      </c>
      <c r="G72" s="111">
        <f>Semestriel!H72+Semestriel!I72</f>
        <v>5008</v>
      </c>
      <c r="H72" s="126">
        <f>(G72-E72)/E72</f>
        <v>0.15899097431150197</v>
      </c>
      <c r="I72" s="4">
        <f>Semestriel!J72+Semestriel!K72</f>
        <v>5809</v>
      </c>
      <c r="J72" s="120">
        <f>(Table_Annuel[[#This Row],[2025]]-Table_Annuel[[#This Row],[2024]])/Table_Annuel[[#This Row],[2024]]</f>
        <v>0.159944089456869</v>
      </c>
    </row>
    <row r="73" spans="1:10" x14ac:dyDescent="0.35">
      <c r="A73" s="60" t="s">
        <v>27</v>
      </c>
      <c r="B73" s="59" t="s">
        <v>87</v>
      </c>
      <c r="C73" s="11" t="s">
        <v>58</v>
      </c>
      <c r="D73" s="113">
        <f>Semestriel!D73+Semestriel!E73</f>
        <v>477</v>
      </c>
      <c r="E73" s="113">
        <f>Semestriel!F73+Semestriel!G73</f>
        <v>530</v>
      </c>
      <c r="F73" s="129">
        <f t="shared" si="10"/>
        <v>0.1111111111111111</v>
      </c>
      <c r="G73" s="113">
        <f>Semestriel!H73+Semestriel!I73</f>
        <v>715</v>
      </c>
      <c r="H73" s="120">
        <f>(G73-E73)/E73</f>
        <v>0.34905660377358488</v>
      </c>
      <c r="I73" s="25">
        <f>Semestriel!J73+Semestriel!K73</f>
        <v>2415</v>
      </c>
      <c r="J73" s="120">
        <f>(Table_Annuel[[#This Row],[2025]]-Table_Annuel[[#This Row],[2024]])/Table_Annuel[[#This Row],[2024]]</f>
        <v>2.3776223776223775</v>
      </c>
    </row>
    <row r="74" spans="1:10" x14ac:dyDescent="0.35">
      <c r="A74" s="60" t="s">
        <v>27</v>
      </c>
      <c r="B74" s="59" t="s">
        <v>87</v>
      </c>
      <c r="C74" s="12" t="s">
        <v>59</v>
      </c>
      <c r="D74" s="147">
        <f>Table_Trims[[#This Row],[2022_T4]]</f>
        <v>314</v>
      </c>
      <c r="E74" s="147">
        <f>Table_Trims[[#This Row],[2023_T4]]</f>
        <v>295</v>
      </c>
      <c r="F74" s="129">
        <f t="shared" si="10"/>
        <v>-6.0509554140127389E-2</v>
      </c>
      <c r="G74" s="146">
        <f>Table_Trims[[#This Row],[2024_T4]]</f>
        <v>349</v>
      </c>
      <c r="H74" s="120">
        <f>(G74-E74)/E74</f>
        <v>0.18305084745762712</v>
      </c>
      <c r="I74" s="8">
        <f>Table_Trims[[#This Row],[2025_T4]]</f>
        <v>486</v>
      </c>
      <c r="J74" s="120">
        <f>(Table_Annuel[[#This Row],[2025]]-Table_Annuel[[#This Row],[2024]])/Table_Annuel[[#This Row],[2024]]</f>
        <v>0.39255014326647564</v>
      </c>
    </row>
    <row r="75" spans="1:10" x14ac:dyDescent="0.35">
      <c r="A75" s="80" t="s">
        <v>51</v>
      </c>
      <c r="B75" s="90"/>
      <c r="C75" s="90"/>
      <c r="D75" s="99"/>
      <c r="E75" s="99"/>
      <c r="F75" s="122"/>
      <c r="G75" s="99"/>
      <c r="H75" s="122"/>
      <c r="I75" s="76"/>
      <c r="J75" s="162"/>
    </row>
    <row r="76" spans="1:10" x14ac:dyDescent="0.35">
      <c r="A76" s="60" t="s">
        <v>28</v>
      </c>
      <c r="B76" s="59" t="s">
        <v>28</v>
      </c>
      <c r="C76" s="10" t="s">
        <v>57</v>
      </c>
      <c r="D76" s="111">
        <f>Semestriel!D76+Semestriel!E76</f>
        <v>1004</v>
      </c>
      <c r="E76" s="111">
        <f>Semestriel!F76+Semestriel!G76</f>
        <v>1175</v>
      </c>
      <c r="F76" s="126">
        <f t="shared" si="10"/>
        <v>0.17031872509960158</v>
      </c>
      <c r="G76" s="111">
        <f>Semestriel!H76+Semestriel!I76</f>
        <v>1248.7</v>
      </c>
      <c r="H76" s="120">
        <f>(G76-E76)/E76</f>
        <v>6.2723404255319193E-2</v>
      </c>
      <c r="I76" s="145">
        <f>Table_Semestriel[[#This Row],[S1_2025 ]]+Table_Semestriel[[#This Row],[S2_2025]]</f>
        <v>3916</v>
      </c>
      <c r="J76" s="120">
        <f>(Table_Annuel[[#This Row],[2025]]-Table_Annuel[[#This Row],[2024]])/Table_Annuel[[#This Row],[2024]]</f>
        <v>2.1360615039641226</v>
      </c>
    </row>
    <row r="77" spans="1:10" x14ac:dyDescent="0.35">
      <c r="A77" s="60" t="s">
        <v>28</v>
      </c>
      <c r="B77" s="59" t="s">
        <v>28</v>
      </c>
      <c r="C77" s="12" t="s">
        <v>59</v>
      </c>
      <c r="D77" s="147">
        <f>Table_Trims[[#This Row],[2022_T4]]</f>
        <v>0</v>
      </c>
      <c r="E77" s="147">
        <f>Table_Trims[[#This Row],[2023_T4]]</f>
        <v>0</v>
      </c>
      <c r="F77" s="129" t="e">
        <f t="shared" si="10"/>
        <v>#DIV/0!</v>
      </c>
      <c r="G77" s="146">
        <f>Table_Trims[[#This Row],[2024_T4]]</f>
        <v>0</v>
      </c>
      <c r="H77" s="120" t="e">
        <f>(G77-E77)/E77</f>
        <v>#DIV/0!</v>
      </c>
      <c r="I77" s="145">
        <f>Table_Trims[[#This Row],[2025_T4]]</f>
        <v>0</v>
      </c>
      <c r="J77" s="120" t="e">
        <f>(Table_Annuel[[#This Row],[2025]]-Table_Annuel[[#This Row],[2024]])/Table_Annuel[[#This Row],[2024]]</f>
        <v>#DIV/0!</v>
      </c>
    </row>
    <row r="78" spans="1:10" x14ac:dyDescent="0.35">
      <c r="A78" s="80" t="s">
        <v>52</v>
      </c>
      <c r="B78" s="90"/>
      <c r="C78" s="90"/>
      <c r="D78" s="99"/>
      <c r="E78" s="99"/>
      <c r="F78" s="122"/>
      <c r="G78" s="89"/>
      <c r="H78" s="125"/>
      <c r="I78" s="76"/>
      <c r="J78" s="162"/>
    </row>
    <row r="79" spans="1:10" x14ac:dyDescent="0.35">
      <c r="A79" s="60" t="s">
        <v>29</v>
      </c>
      <c r="B79" s="59" t="s">
        <v>88</v>
      </c>
      <c r="C79" s="10" t="s">
        <v>57</v>
      </c>
      <c r="D79" s="111">
        <f>Semestriel!D79+Semestriel!E79</f>
        <v>9645</v>
      </c>
      <c r="E79" s="111">
        <f>Semestriel!F79+Semestriel!G79</f>
        <v>7508</v>
      </c>
      <c r="F79" s="126">
        <f t="shared" si="10"/>
        <v>-0.22156557801969934</v>
      </c>
      <c r="G79" s="111">
        <f>Semestriel!H79+Semestriel!I79</f>
        <v>8860</v>
      </c>
      <c r="H79" s="126">
        <f t="shared" ref="H79:H87" si="11">(G79-E79)/E79</f>
        <v>0.18007458710708577</v>
      </c>
      <c r="I79" s="145">
        <f>Table_Semestriel[[#This Row],[S1_2025 ]]+Table_Semestriel[[#This Row],[S2_2025]]</f>
        <v>5375</v>
      </c>
      <c r="J79" s="120">
        <f>(Table_Annuel[[#This Row],[2025]]-Table_Annuel[[#This Row],[2024]])/Table_Annuel[[#This Row],[2024]]</f>
        <v>-0.39334085778781036</v>
      </c>
    </row>
    <row r="80" spans="1:10" x14ac:dyDescent="0.35">
      <c r="A80" s="60" t="s">
        <v>29</v>
      </c>
      <c r="B80" s="59" t="s">
        <v>88</v>
      </c>
      <c r="C80" s="11" t="s">
        <v>58</v>
      </c>
      <c r="D80" s="113">
        <f>Semestriel!D80+Semestriel!E80</f>
        <v>2174</v>
      </c>
      <c r="E80" s="113">
        <f>Semestriel!F80+Semestriel!G80</f>
        <v>2752</v>
      </c>
      <c r="F80" s="129">
        <f t="shared" si="10"/>
        <v>0.26586936522539101</v>
      </c>
      <c r="G80" s="113">
        <f>Semestriel!H80+Semestriel!I80</f>
        <v>7252</v>
      </c>
      <c r="H80" s="120">
        <f t="shared" si="11"/>
        <v>1.6351744186046511</v>
      </c>
      <c r="I80" s="145">
        <f>Table_Semestriel[[#This Row],[S1_2025 ]]+Table_Semestriel[[#This Row],[S2_2025]]</f>
        <v>3926</v>
      </c>
      <c r="J80" s="120">
        <f>(Table_Annuel[[#This Row],[2025]]-Table_Annuel[[#This Row],[2024]])/Table_Annuel[[#This Row],[2024]]</f>
        <v>-0.45863210148924433</v>
      </c>
    </row>
    <row r="81" spans="1:15" x14ac:dyDescent="0.35">
      <c r="A81" s="60" t="s">
        <v>29</v>
      </c>
      <c r="B81" s="59" t="s">
        <v>88</v>
      </c>
      <c r="C81" s="12" t="s">
        <v>59</v>
      </c>
      <c r="D81" s="146">
        <f>Table_Trims[[#This Row],[2022_T4]]</f>
        <v>0</v>
      </c>
      <c r="E81" s="146">
        <f>Table_Trims[[#This Row],[2023_T4]]</f>
        <v>0</v>
      </c>
      <c r="F81" s="123" t="e">
        <f t="shared" si="10"/>
        <v>#DIV/0!</v>
      </c>
      <c r="G81" s="146">
        <f>Table_Trims[[#This Row],[2024_T4]]</f>
        <v>0</v>
      </c>
      <c r="H81" s="120" t="e">
        <f t="shared" si="11"/>
        <v>#DIV/0!</v>
      </c>
      <c r="I81" s="155">
        <f>Table_Semestriel[[#This Row],[S2_2025]]</f>
        <v>0</v>
      </c>
      <c r="J81" s="120" t="e">
        <f>(Table_Annuel[[#This Row],[2025]]-Table_Annuel[[#This Row],[2024]])/Table_Annuel[[#This Row],[2024]]</f>
        <v>#DIV/0!</v>
      </c>
    </row>
    <row r="82" spans="1:15" x14ac:dyDescent="0.35">
      <c r="A82" s="60" t="s">
        <v>30</v>
      </c>
      <c r="B82" s="59" t="s">
        <v>89</v>
      </c>
      <c r="C82" s="11" t="s">
        <v>57</v>
      </c>
      <c r="D82" s="111">
        <f>Semestriel!D82+Semestriel!E82</f>
        <v>589</v>
      </c>
      <c r="E82" s="111">
        <f>Semestriel!F82+Semestriel!G82</f>
        <v>590</v>
      </c>
      <c r="F82" s="126">
        <f t="shared" si="10"/>
        <v>1.697792869269949E-3</v>
      </c>
      <c r="G82" s="111">
        <f>Semestriel!H82+Semestriel!I82</f>
        <v>586</v>
      </c>
      <c r="H82" s="126">
        <f t="shared" si="11"/>
        <v>-6.7796610169491523E-3</v>
      </c>
      <c r="I82" s="4">
        <f>Semestriel!K82+Semestriel!J82</f>
        <v>690</v>
      </c>
      <c r="J82" s="166">
        <f>(Table_Annuel[[#This Row],[2025]]-Table_Annuel[[#This Row],[2024]])/Table_Annuel[[#This Row],[2024]]</f>
        <v>0.17747440273037543</v>
      </c>
    </row>
    <row r="83" spans="1:15" x14ac:dyDescent="0.35">
      <c r="A83" s="60" t="s">
        <v>30</v>
      </c>
      <c r="B83" s="59" t="s">
        <v>89</v>
      </c>
      <c r="C83" s="11" t="s">
        <v>58</v>
      </c>
      <c r="D83" s="113">
        <f>Semestriel!D83+Semestriel!E83</f>
        <v>92</v>
      </c>
      <c r="E83" s="113">
        <f>Semestriel!F83+Semestriel!G83</f>
        <v>107</v>
      </c>
      <c r="F83" s="129">
        <f t="shared" si="10"/>
        <v>0.16304347826086957</v>
      </c>
      <c r="G83" s="113">
        <f>Semestriel!H83+Semestriel!I83</f>
        <v>103</v>
      </c>
      <c r="H83" s="120">
        <f t="shared" si="11"/>
        <v>-3.7383177570093455E-2</v>
      </c>
      <c r="I83" s="25">
        <f>Semestriel!K83+Semestriel!J83</f>
        <v>62</v>
      </c>
      <c r="J83" s="120">
        <f>(Table_Annuel[[#This Row],[2025]]-Table_Annuel[[#This Row],[2024]])/Table_Annuel[[#This Row],[2024]]</f>
        <v>-0.39805825242718446</v>
      </c>
    </row>
    <row r="84" spans="1:15" x14ac:dyDescent="0.35">
      <c r="A84" s="60" t="s">
        <v>30</v>
      </c>
      <c r="B84" s="59" t="s">
        <v>89</v>
      </c>
      <c r="C84" s="12" t="s">
        <v>59</v>
      </c>
      <c r="D84" s="146">
        <f>Table_Trims[[#This Row],[2022_T4]]</f>
        <v>342</v>
      </c>
      <c r="E84" s="146">
        <f>Table_Trims[[#This Row],[2023_T4]]</f>
        <v>24</v>
      </c>
      <c r="F84" s="129">
        <f t="shared" si="10"/>
        <v>-0.92982456140350878</v>
      </c>
      <c r="G84" s="146">
        <f>Table_Trims[[#This Row],[2024_T4]]</f>
        <v>-792</v>
      </c>
      <c r="H84" s="120">
        <f t="shared" si="11"/>
        <v>-34</v>
      </c>
      <c r="I84" s="8">
        <f>Table_Trims[[#This Row],[2025_T4]]</f>
        <v>-753</v>
      </c>
      <c r="J84" s="164">
        <f>(Table_Annuel[[#This Row],[2025]]-Table_Annuel[[#This Row],[2024]])/Table_Annuel[[#This Row],[2024]]</f>
        <v>-4.924242424242424E-2</v>
      </c>
    </row>
    <row r="85" spans="1:15" x14ac:dyDescent="0.35">
      <c r="A85" s="60" t="s">
        <v>31</v>
      </c>
      <c r="B85" s="59" t="s">
        <v>31</v>
      </c>
      <c r="C85" s="11" t="s">
        <v>57</v>
      </c>
      <c r="D85" s="111">
        <f>Semestriel!D85+Semestriel!E85</f>
        <v>798</v>
      </c>
      <c r="E85" s="111">
        <f>Semestriel!F85+Semestriel!G85</f>
        <v>1066</v>
      </c>
      <c r="F85" s="126">
        <f t="shared" si="10"/>
        <v>0.33583959899749372</v>
      </c>
      <c r="G85" s="111">
        <f>Semestriel!H85+Semestriel!I85</f>
        <v>1053</v>
      </c>
      <c r="H85" s="126">
        <f t="shared" si="11"/>
        <v>-1.2195121951219513E-2</v>
      </c>
      <c r="I85" s="145">
        <f>Table_Semestriel[[#This Row],[S1_2025 ]]+Table_Semestriel[[#This Row],[S2_2025]]</f>
        <v>628</v>
      </c>
      <c r="J85" s="120">
        <f>(Table_Annuel[[#This Row],[2025]]-Table_Annuel[[#This Row],[2024]])/Table_Annuel[[#This Row],[2024]]</f>
        <v>-0.40360873694207028</v>
      </c>
    </row>
    <row r="86" spans="1:15" x14ac:dyDescent="0.35">
      <c r="A86" s="60" t="s">
        <v>31</v>
      </c>
      <c r="B86" s="59" t="s">
        <v>31</v>
      </c>
      <c r="C86" s="11" t="s">
        <v>58</v>
      </c>
      <c r="D86" s="113">
        <f>Semestriel!D86+Semestriel!E86</f>
        <v>221</v>
      </c>
      <c r="E86" s="113">
        <f>Semestriel!F86+Semestriel!G86</f>
        <v>175</v>
      </c>
      <c r="F86" s="129">
        <f t="shared" si="10"/>
        <v>-0.20814479638009051</v>
      </c>
      <c r="G86" s="113">
        <f>Semestriel!H86+Semestriel!I86</f>
        <v>213</v>
      </c>
      <c r="H86" s="120">
        <f t="shared" si="11"/>
        <v>0.21714285714285714</v>
      </c>
      <c r="I86" s="145">
        <f>Table_Semestriel[[#This Row],[S1_2025 ]]+Table_Semestriel[[#This Row],[S2_2025]]</f>
        <v>973</v>
      </c>
      <c r="J86" s="120">
        <f>(Table_Annuel[[#This Row],[2025]]-Table_Annuel[[#This Row],[2024]])/Table_Annuel[[#This Row],[2024]]</f>
        <v>3.568075117370892</v>
      </c>
    </row>
    <row r="87" spans="1:15" x14ac:dyDescent="0.35">
      <c r="A87" s="60" t="s">
        <v>31</v>
      </c>
      <c r="B87" s="59" t="s">
        <v>31</v>
      </c>
      <c r="C87" s="12" t="s">
        <v>59</v>
      </c>
      <c r="D87" s="147">
        <f>Table_Trims[[#This Row],[2022_T4]]</f>
        <v>159</v>
      </c>
      <c r="E87" s="147">
        <f>Table_Trims[[#This Row],[2023_T4]]</f>
        <v>87</v>
      </c>
      <c r="F87" s="123">
        <f t="shared" si="10"/>
        <v>-0.45283018867924529</v>
      </c>
      <c r="G87" s="146">
        <f>Table_Trims[[#This Row],[2024_T4]]</f>
        <v>551</v>
      </c>
      <c r="H87" s="120">
        <f t="shared" si="11"/>
        <v>5.333333333333333</v>
      </c>
      <c r="I87" s="155">
        <f>Table_Semestriel[[#This Row],[S2_2025]]</f>
        <v>423</v>
      </c>
      <c r="J87" s="120">
        <f>(Table_Annuel[[#This Row],[2025]]-Table_Annuel[[#This Row],[2024]])/Table_Annuel[[#This Row],[2024]]</f>
        <v>-0.23230490018148819</v>
      </c>
    </row>
    <row r="88" spans="1:15" x14ac:dyDescent="0.35">
      <c r="A88" s="78" t="s">
        <v>53</v>
      </c>
      <c r="B88" s="90"/>
      <c r="C88" s="90"/>
      <c r="D88" s="99"/>
      <c r="E88" s="89"/>
      <c r="F88" s="125"/>
      <c r="G88" s="89"/>
      <c r="H88" s="122"/>
      <c r="I88" s="76"/>
      <c r="J88" s="162"/>
    </row>
    <row r="89" spans="1:15" x14ac:dyDescent="0.35">
      <c r="A89" s="60" t="s">
        <v>32</v>
      </c>
      <c r="B89" s="59" t="s">
        <v>90</v>
      </c>
      <c r="C89" s="10" t="s">
        <v>57</v>
      </c>
      <c r="D89" s="111">
        <f>Semestriel!D89+Semestriel!E89</f>
        <v>35731</v>
      </c>
      <c r="E89" s="111">
        <f>Semestriel!F89+Semestriel!G89</f>
        <v>36785</v>
      </c>
      <c r="F89" s="126">
        <f t="shared" si="10"/>
        <v>2.9498194844812628E-2</v>
      </c>
      <c r="G89" s="111">
        <f>Semestriel!H89+Semestriel!I89</f>
        <v>36699</v>
      </c>
      <c r="H89" s="120">
        <f>(G89-E89)/E89</f>
        <v>-2.3379094739703682E-3</v>
      </c>
      <c r="I89" s="4">
        <f>Semestriel!K89+Semestriel!J89</f>
        <v>36675</v>
      </c>
      <c r="J89" s="120">
        <f>(Table_Annuel[[#This Row],[2025]]-Table_Annuel[[#This Row],[2024]])/Table_Annuel[[#This Row],[2024]]</f>
        <v>-6.5396877299108965E-4</v>
      </c>
    </row>
    <row r="90" spans="1:15" x14ac:dyDescent="0.35">
      <c r="A90" s="60" t="s">
        <v>32</v>
      </c>
      <c r="B90" s="59" t="s">
        <v>90</v>
      </c>
      <c r="C90" s="11" t="s">
        <v>58</v>
      </c>
      <c r="D90" s="113">
        <f>Semestriel!D90+Semestriel!E90</f>
        <v>7572</v>
      </c>
      <c r="E90" s="113">
        <f>Semestriel!F90+Semestriel!G90</f>
        <v>7839</v>
      </c>
      <c r="F90" s="129">
        <f t="shared" si="10"/>
        <v>3.5261489698890647E-2</v>
      </c>
      <c r="G90" s="113">
        <f>Semestriel!H90+Semestriel!I90</f>
        <v>11165</v>
      </c>
      <c r="H90" s="120">
        <f>(G90-E90)/E90</f>
        <v>0.42428881234851384</v>
      </c>
      <c r="I90" s="25">
        <f>Semestriel!K90+Semestriel!J90</f>
        <v>10891</v>
      </c>
      <c r="J90" s="120">
        <f>(Table_Annuel[[#This Row],[2025]]-Table_Annuel[[#This Row],[2024]])/Table_Annuel[[#This Row],[2024]]</f>
        <v>-2.4540976265114197E-2</v>
      </c>
    </row>
    <row r="91" spans="1:15" x14ac:dyDescent="0.35">
      <c r="A91" s="60" t="s">
        <v>32</v>
      </c>
      <c r="B91" s="59" t="s">
        <v>90</v>
      </c>
      <c r="C91" s="12" t="s">
        <v>59</v>
      </c>
      <c r="D91" s="147">
        <f>Table_Trims[[#This Row],[2022_T4]]</f>
        <v>4347</v>
      </c>
      <c r="E91" s="147">
        <f>Table_Trims[[#This Row],[2023_T4]]</f>
        <v>7588</v>
      </c>
      <c r="F91" s="129">
        <f t="shared" si="10"/>
        <v>0.74557165861513686</v>
      </c>
      <c r="G91" s="146">
        <f>Table_Trims[[#This Row],[2024_T4]]</f>
        <v>10272</v>
      </c>
      <c r="H91" s="123">
        <f>(G91-E91)/E91</f>
        <v>0.35371639430680019</v>
      </c>
      <c r="I91" s="8">
        <f>Table_Trims[[#This Row],[2025_T4]]</f>
        <v>12674</v>
      </c>
      <c r="J91" s="120">
        <f>(Table_Annuel[[#This Row],[2025]]-Table_Annuel[[#This Row],[2024]])/Table_Annuel[[#This Row],[2024]]</f>
        <v>0.23383956386292834</v>
      </c>
    </row>
    <row r="92" spans="1:15" x14ac:dyDescent="0.35">
      <c r="A92" s="80" t="s">
        <v>54</v>
      </c>
      <c r="B92" s="90"/>
      <c r="C92" s="90"/>
      <c r="D92" s="99"/>
      <c r="E92" s="99"/>
      <c r="F92" s="136"/>
      <c r="G92" s="99"/>
      <c r="H92" s="128"/>
      <c r="I92" s="76"/>
      <c r="J92" s="162"/>
    </row>
    <row r="93" spans="1:15" x14ac:dyDescent="0.35">
      <c r="A93" s="60" t="s">
        <v>33</v>
      </c>
      <c r="B93" s="59" t="s">
        <v>91</v>
      </c>
      <c r="C93" s="10" t="s">
        <v>57</v>
      </c>
      <c r="D93" s="111">
        <f>Semestriel!D93+Semestriel!E93</f>
        <v>1584</v>
      </c>
      <c r="E93" s="111">
        <f>Semestriel!F93+Semestriel!G93</f>
        <v>2018</v>
      </c>
      <c r="F93" s="126">
        <f t="shared" si="10"/>
        <v>0.27398989898989901</v>
      </c>
      <c r="G93" s="111">
        <f>Semestriel!H93+Semestriel!I93</f>
        <v>2364</v>
      </c>
      <c r="H93" s="126">
        <f t="shared" ref="H93:H98" si="12">(G93-E93)/E93</f>
        <v>0.17145688800792863</v>
      </c>
      <c r="I93" s="145">
        <f>Table_Semestriel[[#This Row],[S1_2025 ]]+Table_Semestriel[[#This Row],[S2_2025]]</f>
        <v>1368</v>
      </c>
      <c r="J93" s="120">
        <f>(Table_Annuel[[#This Row],[2025]]-Table_Annuel[[#This Row],[2024]])/Table_Annuel[[#This Row],[2024]]</f>
        <v>-0.42131979695431471</v>
      </c>
      <c r="O93" s="6"/>
    </row>
    <row r="94" spans="1:15" x14ac:dyDescent="0.35">
      <c r="A94" s="60" t="s">
        <v>33</v>
      </c>
      <c r="B94" s="59" t="s">
        <v>91</v>
      </c>
      <c r="C94" s="12" t="s">
        <v>59</v>
      </c>
      <c r="D94" s="146">
        <f>Table_Trims[[#This Row],[2022_T4]]</f>
        <v>282</v>
      </c>
      <c r="E94" s="146">
        <f>Table_Trims[[#This Row],[2023_T4]]</f>
        <v>400</v>
      </c>
      <c r="F94" s="123">
        <f t="shared" si="10"/>
        <v>0.41843971631205673</v>
      </c>
      <c r="G94" s="146">
        <f>Table_Trims[[#This Row],[2024_T4]]</f>
        <v>231</v>
      </c>
      <c r="H94" s="120">
        <f>(G94-E94)/E94</f>
        <v>-0.42249999999999999</v>
      </c>
      <c r="I94" s="155">
        <f>Table_Semestriel[[#This Row],[S2_2025]]</f>
        <v>70</v>
      </c>
      <c r="J94" s="120">
        <f>(Table_Annuel[[#This Row],[2025]]-Table_Annuel[[#This Row],[2024]])/Table_Annuel[[#This Row],[2024]]</f>
        <v>-0.69696969696969702</v>
      </c>
      <c r="L94" s="6"/>
    </row>
    <row r="95" spans="1:15" x14ac:dyDescent="0.35">
      <c r="A95" s="60" t="s">
        <v>34</v>
      </c>
      <c r="B95" s="59" t="s">
        <v>92</v>
      </c>
      <c r="C95" s="11" t="s">
        <v>57</v>
      </c>
      <c r="D95" s="111">
        <f>Semestriel!D95+Semestriel!E95</f>
        <v>1394</v>
      </c>
      <c r="E95" s="111">
        <f>Semestriel!F95+Semestriel!G95</f>
        <v>2099</v>
      </c>
      <c r="F95" s="126">
        <f t="shared" si="10"/>
        <v>0.50573888091822095</v>
      </c>
      <c r="G95" s="111">
        <f>Semestriel!H95+Semestriel!I95</f>
        <v>2589</v>
      </c>
      <c r="H95" s="120">
        <f t="shared" si="12"/>
        <v>0.23344449737970463</v>
      </c>
      <c r="I95" s="145">
        <f>Table_Semestriel[[#This Row],[S1_2025 ]]+Table_Semestriel[[#This Row],[S2_2025]]</f>
        <v>2235</v>
      </c>
      <c r="J95" s="166">
        <f>(Table_Annuel[[#This Row],[2025]]-Table_Annuel[[#This Row],[2024]])/Table_Annuel[[#This Row],[2024]]</f>
        <v>-0.13673232908458866</v>
      </c>
      <c r="K95" s="119"/>
    </row>
    <row r="96" spans="1:15" x14ac:dyDescent="0.35">
      <c r="A96" s="60" t="s">
        <v>34</v>
      </c>
      <c r="B96" s="59" t="s">
        <v>92</v>
      </c>
      <c r="C96" s="12" t="s">
        <v>59</v>
      </c>
      <c r="D96" s="146">
        <f>Table_Trims[[#This Row],[2022_T4]]</f>
        <v>63</v>
      </c>
      <c r="E96" s="146">
        <f>Table_Trims[[#This Row],[2023_T4]]</f>
        <v>52</v>
      </c>
      <c r="F96" s="129">
        <f t="shared" si="10"/>
        <v>-0.17460317460317459</v>
      </c>
      <c r="G96" s="146">
        <f>Table_Trims[[#This Row],[2024_T4]]</f>
        <v>66</v>
      </c>
      <c r="H96" s="120">
        <f t="shared" si="12"/>
        <v>0.26923076923076922</v>
      </c>
      <c r="I96" s="155">
        <f>Table_Semestriel[[#This Row],[S2_2025]]</f>
        <v>62</v>
      </c>
      <c r="J96" s="120">
        <f>(Table_Annuel[[#This Row],[2025]]-Table_Annuel[[#This Row],[2024]])/Table_Annuel[[#This Row],[2024]]</f>
        <v>-6.0606060606060608E-2</v>
      </c>
      <c r="M96" s="6"/>
    </row>
    <row r="97" spans="1:11" x14ac:dyDescent="0.35">
      <c r="A97" s="60" t="s">
        <v>35</v>
      </c>
      <c r="B97" s="59" t="s">
        <v>93</v>
      </c>
      <c r="C97" s="11" t="s">
        <v>57</v>
      </c>
      <c r="D97" s="111">
        <f>Semestriel!D97+Semestriel!E97</f>
        <v>536</v>
      </c>
      <c r="E97" s="111">
        <f>Semestriel!F97+Semestriel!G97</f>
        <v>420</v>
      </c>
      <c r="F97" s="126">
        <f t="shared" si="10"/>
        <v>-0.21641791044776118</v>
      </c>
      <c r="G97" s="111">
        <f>Semestriel!H97+Semestriel!I97</f>
        <v>136</v>
      </c>
      <c r="H97" s="120">
        <f t="shared" si="12"/>
        <v>-0.67619047619047623</v>
      </c>
      <c r="I97" s="145">
        <f>Table_Semestriel[[#This Row],[S1_2025 ]]+Table_Semestriel[[#This Row],[S2_2025]]</f>
        <v>-217.79999999999995</v>
      </c>
      <c r="J97" s="166">
        <f>(Table_Annuel[[#This Row],[2025]]-Table_Annuel[[#This Row],[2024]])/Table_Annuel[[#This Row],[2024]]</f>
        <v>-2.6014705882352938</v>
      </c>
      <c r="K97" s="119"/>
    </row>
    <row r="98" spans="1:11" x14ac:dyDescent="0.35">
      <c r="A98" s="60" t="s">
        <v>35</v>
      </c>
      <c r="B98" s="59" t="s">
        <v>93</v>
      </c>
      <c r="C98" s="12" t="s">
        <v>59</v>
      </c>
      <c r="D98" s="147">
        <f>Table_Trims[[#This Row],[2022_T4]]</f>
        <v>0</v>
      </c>
      <c r="E98" s="147">
        <f>Table_Trims[[#This Row],[2023_T4]]</f>
        <v>0</v>
      </c>
      <c r="F98" s="129" t="e">
        <f t="shared" si="10"/>
        <v>#DIV/0!</v>
      </c>
      <c r="G98" s="146">
        <f>Table_Trims[[#This Row],[2024_T4]]</f>
        <v>0</v>
      </c>
      <c r="H98" s="120" t="e">
        <f t="shared" si="12"/>
        <v>#DIV/0!</v>
      </c>
      <c r="I98" s="155">
        <f>Table_Semestriel[[#This Row],[S2_2025]]</f>
        <v>0</v>
      </c>
      <c r="J98" s="120" t="e">
        <f>(Table_Annuel[[#This Row],[2025]]-Table_Annuel[[#This Row],[2024]])/Table_Annuel[[#This Row],[2024]]</f>
        <v>#DIV/0!</v>
      </c>
    </row>
    <row r="99" spans="1:11" x14ac:dyDescent="0.35">
      <c r="A99" s="80" t="s">
        <v>55</v>
      </c>
      <c r="B99" s="90"/>
      <c r="C99" s="90"/>
      <c r="D99" s="99"/>
      <c r="E99" s="99"/>
      <c r="F99" s="122"/>
      <c r="G99" s="89"/>
      <c r="H99" s="122"/>
      <c r="I99" s="76"/>
      <c r="J99" s="162"/>
    </row>
    <row r="100" spans="1:11" x14ac:dyDescent="0.35">
      <c r="A100" s="60" t="s">
        <v>36</v>
      </c>
      <c r="B100" s="59" t="s">
        <v>94</v>
      </c>
      <c r="C100" s="13" t="s">
        <v>57</v>
      </c>
      <c r="D100" s="111">
        <f>Semestriel!D100+Semestriel!E100</f>
        <v>1034</v>
      </c>
      <c r="E100" s="111">
        <f>Semestriel!F100+Semestriel!G100</f>
        <v>1912</v>
      </c>
      <c r="F100" s="126">
        <f t="shared" si="10"/>
        <v>0.84912959381044484</v>
      </c>
      <c r="G100" s="111">
        <f>Semestriel!H100+Semestriel!I100</f>
        <v>2952</v>
      </c>
      <c r="H100" s="120">
        <f>(G100-E100)/E100</f>
        <v>0.54393305439330542</v>
      </c>
      <c r="I100" s="4">
        <f>Semestriel!K100+Semestriel!J100</f>
        <v>4409</v>
      </c>
      <c r="J100" s="120">
        <f>(Table_Annuel[[#This Row],[2025]]-Table_Annuel[[#This Row],[2024]])/Table_Annuel[[#This Row],[2024]]</f>
        <v>0.49356368563685638</v>
      </c>
    </row>
    <row r="101" spans="1:11" x14ac:dyDescent="0.35">
      <c r="A101" s="60" t="s">
        <v>36</v>
      </c>
      <c r="B101" s="59" t="s">
        <v>94</v>
      </c>
      <c r="C101" s="14" t="s">
        <v>58</v>
      </c>
      <c r="D101" s="113">
        <f>Semestriel!D101+Semestriel!E101</f>
        <v>1108</v>
      </c>
      <c r="E101" s="113">
        <f>Semestriel!F101+Semestriel!G101</f>
        <v>1061</v>
      </c>
      <c r="F101" s="129">
        <f t="shared" si="10"/>
        <v>-4.2418772563176894E-2</v>
      </c>
      <c r="G101" s="113">
        <f>Semestriel!H101+Semestriel!I101</f>
        <v>1689</v>
      </c>
      <c r="H101" s="120">
        <f>(G101-E101)/E101</f>
        <v>0.5918944392082941</v>
      </c>
      <c r="I101" s="25">
        <f>Semestriel!K101+Semestriel!J101</f>
        <v>2055</v>
      </c>
      <c r="J101" s="120">
        <f>(Table_Annuel[[#This Row],[2025]]-Table_Annuel[[#This Row],[2024]])/Table_Annuel[[#This Row],[2024]]</f>
        <v>0.21669626998223801</v>
      </c>
    </row>
    <row r="102" spans="1:11" x14ac:dyDescent="0.35">
      <c r="A102" s="60" t="s">
        <v>36</v>
      </c>
      <c r="B102" s="59" t="s">
        <v>94</v>
      </c>
      <c r="C102" s="15" t="s">
        <v>59</v>
      </c>
      <c r="D102" s="113"/>
      <c r="E102" s="113">
        <f>Semestriel!F102+Semestriel!G102</f>
        <v>0</v>
      </c>
      <c r="F102" s="134"/>
      <c r="G102" s="146">
        <f>Table_Trims[[#This Row],[2024_T4]]</f>
        <v>0</v>
      </c>
      <c r="H102" s="120" t="e">
        <f>(G102-E102)/E102</f>
        <v>#DIV/0!</v>
      </c>
      <c r="I102" s="25">
        <f>Table_Trims[[#This Row],[2025_T4]]</f>
        <v>0</v>
      </c>
      <c r="J102" s="120" t="e">
        <f>(Table_Annuel[[#This Row],[2025]]-Table_Annuel[[#This Row],[2024]])/Table_Annuel[[#This Row],[2024]]</f>
        <v>#DIV/0!</v>
      </c>
    </row>
    <row r="103" spans="1:11" x14ac:dyDescent="0.35">
      <c r="A103" s="60" t="s">
        <v>37</v>
      </c>
      <c r="B103" s="59" t="s">
        <v>95</v>
      </c>
      <c r="C103" s="14" t="s">
        <v>57</v>
      </c>
      <c r="D103" s="114"/>
      <c r="E103" s="114"/>
      <c r="F103" s="127"/>
      <c r="G103" s="111">
        <f>Semestriel!H103+Semestriel!I103</f>
        <v>835</v>
      </c>
      <c r="H103" s="126"/>
      <c r="I103" s="4">
        <f>Semestriel!K103+Semestriel!J103</f>
        <v>1085</v>
      </c>
      <c r="J103" s="166">
        <f>(Table_Annuel[[#This Row],[2025]]-Table_Annuel[[#This Row],[2024]])/Table_Annuel[[#This Row],[2024]]</f>
        <v>0.29940119760479039</v>
      </c>
    </row>
    <row r="104" spans="1:11" x14ac:dyDescent="0.35">
      <c r="A104" s="60" t="s">
        <v>37</v>
      </c>
      <c r="B104" s="59" t="s">
        <v>95</v>
      </c>
      <c r="C104" s="14" t="s">
        <v>58</v>
      </c>
      <c r="D104" s="115"/>
      <c r="E104" s="115"/>
      <c r="F104" s="134"/>
      <c r="G104" s="113">
        <f>Semestriel!H104+Semestriel!I104</f>
        <v>3.4</v>
      </c>
      <c r="H104" s="120"/>
      <c r="I104" s="25">
        <f>Semestriel!K104+Semestriel!J104</f>
        <v>31.5</v>
      </c>
      <c r="J104" s="120">
        <f>(Table_Annuel[[#This Row],[2025]]-Table_Annuel[[#This Row],[2024]])/Table_Annuel[[#This Row],[2024]]</f>
        <v>8.264705882352942</v>
      </c>
    </row>
    <row r="105" spans="1:11" x14ac:dyDescent="0.35">
      <c r="A105" s="60" t="s">
        <v>37</v>
      </c>
      <c r="B105" s="59" t="s">
        <v>95</v>
      </c>
      <c r="C105" s="15" t="s">
        <v>59</v>
      </c>
      <c r="D105" s="115"/>
      <c r="E105" s="115"/>
      <c r="F105" s="134"/>
      <c r="G105" s="146">
        <f>Table_Trims[[#This Row],[2024_T4]]</f>
        <v>653</v>
      </c>
      <c r="H105" s="123"/>
      <c r="I105" s="8">
        <f>Table_Trims[[#This Row],[2025_T4]]</f>
        <v>1059</v>
      </c>
      <c r="J105" s="120">
        <f>(Table_Annuel[[#This Row],[2025]]-Table_Annuel[[#This Row],[2024]])/Table_Annuel[[#This Row],[2024]]</f>
        <v>0.62174578866768759</v>
      </c>
    </row>
    <row r="106" spans="1:11" x14ac:dyDescent="0.35">
      <c r="A106" s="67" t="s">
        <v>38</v>
      </c>
      <c r="B106" s="59" t="s">
        <v>96</v>
      </c>
      <c r="C106" s="10" t="s">
        <v>57</v>
      </c>
      <c r="D106" s="111">
        <f>Semestriel!D106+Semestriel!E106</f>
        <v>2272</v>
      </c>
      <c r="E106" s="111">
        <f>Semestriel!F106+Semestriel!G106</f>
        <v>2455</v>
      </c>
      <c r="F106" s="126">
        <f t="shared" si="10"/>
        <v>8.0545774647887328E-2</v>
      </c>
      <c r="G106" s="111">
        <f>Semestriel!H106+Semestriel!I106</f>
        <v>4144</v>
      </c>
      <c r="H106" s="120">
        <f>(G106-E106)/E106</f>
        <v>0.68798370672097764</v>
      </c>
      <c r="I106" s="155">
        <f>Table_Semestriel[[#This Row],[S1_2025 ]]+Table_Semestriel[[#This Row],[S2_2025]]</f>
        <v>5649</v>
      </c>
      <c r="J106" s="166">
        <f>(Table_Annuel[[#This Row],[2025]]-Table_Annuel[[#This Row],[2024]])/Table_Annuel[[#This Row],[2024]]</f>
        <v>0.36317567567567566</v>
      </c>
    </row>
    <row r="107" spans="1:11" x14ac:dyDescent="0.35">
      <c r="A107" s="67" t="s">
        <v>38</v>
      </c>
      <c r="B107" s="59" t="s">
        <v>96</v>
      </c>
      <c r="C107" s="11" t="s">
        <v>58</v>
      </c>
      <c r="D107" s="113">
        <f>Semestriel!D107+Semestriel!E107</f>
        <v>55</v>
      </c>
      <c r="E107" s="113">
        <f>Semestriel!F107+Semestriel!G107</f>
        <v>100</v>
      </c>
      <c r="F107" s="129">
        <f t="shared" si="10"/>
        <v>0.81818181818181823</v>
      </c>
      <c r="G107" s="113">
        <f>Semestriel!H107+Semestriel!I107</f>
        <v>74</v>
      </c>
      <c r="H107" s="120">
        <f>(G107-E107)/E107</f>
        <v>-0.26</v>
      </c>
      <c r="I107" s="155">
        <f>Table_Semestriel[[#This Row],[S1_2025 ]]+Table_Semestriel[[#This Row],[S2_2025]]</f>
        <v>332</v>
      </c>
      <c r="J107" s="120">
        <f>(Table_Annuel[[#This Row],[2025]]-Table_Annuel[[#This Row],[2024]])/Table_Annuel[[#This Row],[2024]]</f>
        <v>3.4864864864864864</v>
      </c>
    </row>
    <row r="108" spans="1:11" x14ac:dyDescent="0.35">
      <c r="A108" s="67" t="s">
        <v>38</v>
      </c>
      <c r="B108" s="59" t="s">
        <v>96</v>
      </c>
      <c r="C108" s="12" t="s">
        <v>59</v>
      </c>
      <c r="D108" s="147">
        <f>Table_Trims[[#This Row],[2022_T4]]</f>
        <v>2327</v>
      </c>
      <c r="E108" s="147">
        <f>Table_Trims[[#This Row],[2023_T4]]</f>
        <v>1733</v>
      </c>
      <c r="F108" s="129">
        <f t="shared" si="10"/>
        <v>-0.25526428878384183</v>
      </c>
      <c r="G108" s="146">
        <f>Table_Trims[[#This Row],[2024_T4]]</f>
        <v>1710</v>
      </c>
      <c r="H108" s="120">
        <f>(G108-E108)/E108</f>
        <v>-1.3271783035199077E-2</v>
      </c>
      <c r="I108" s="158">
        <f>Table_Semestriel[[#This Row],[S2_2025]]</f>
        <v>1775</v>
      </c>
      <c r="J108" s="120">
        <f>(Table_Annuel[[#This Row],[2025]]-Table_Annuel[[#This Row],[2024]])/Table_Annuel[[#This Row],[2024]]</f>
        <v>3.8011695906432746E-2</v>
      </c>
    </row>
    <row r="109" spans="1:11" x14ac:dyDescent="0.35">
      <c r="A109" s="80" t="s">
        <v>56</v>
      </c>
      <c r="B109" s="90"/>
      <c r="C109" s="90"/>
      <c r="D109" s="99"/>
      <c r="E109" s="99"/>
      <c r="F109" s="122"/>
      <c r="G109" s="89"/>
      <c r="H109" s="122"/>
      <c r="I109" s="76"/>
      <c r="J109" s="162"/>
    </row>
    <row r="110" spans="1:11" x14ac:dyDescent="0.35">
      <c r="A110" s="60" t="s">
        <v>39</v>
      </c>
      <c r="B110" s="59" t="s">
        <v>97</v>
      </c>
      <c r="C110" s="10" t="s">
        <v>57</v>
      </c>
      <c r="D110" s="111">
        <f>Semestriel!D110+Semestriel!E110</f>
        <v>486</v>
      </c>
      <c r="E110" s="111">
        <f>Semestriel!F110+Semestriel!G110</f>
        <v>583.1</v>
      </c>
      <c r="F110" s="126">
        <f t="shared" si="10"/>
        <v>0.19979423868312762</v>
      </c>
      <c r="G110" s="111">
        <f>Semestriel!H110+Semestriel!I110</f>
        <v>605.9</v>
      </c>
      <c r="H110" s="120">
        <f>(G110-E110)/E110</f>
        <v>3.9101354827645263E-2</v>
      </c>
      <c r="I110" s="145">
        <f>Table_Semestriel[[#This Row],[S1_2025 ]]+Table_Semestriel[[#This Row],[S2_2025]]</f>
        <v>2627</v>
      </c>
      <c r="J110" s="166">
        <f>(Table_Annuel[[#This Row],[2025]]-Table_Annuel[[#This Row],[2024]])/Table_Annuel[[#This Row],[2024]]</f>
        <v>3.3356989602244593</v>
      </c>
    </row>
    <row r="111" spans="1:11" x14ac:dyDescent="0.35">
      <c r="A111" s="60" t="s">
        <v>39</v>
      </c>
      <c r="B111" s="59" t="s">
        <v>97</v>
      </c>
      <c r="C111" s="11" t="s">
        <v>58</v>
      </c>
      <c r="D111" s="113">
        <f>Semestriel!D111+Semestriel!E111</f>
        <v>746</v>
      </c>
      <c r="E111" s="113">
        <f>Semestriel!F111+Semestriel!G111</f>
        <v>474</v>
      </c>
      <c r="F111" s="129">
        <f t="shared" si="10"/>
        <v>-0.36461126005361932</v>
      </c>
      <c r="G111" s="113">
        <f>Semestriel!H111+Semestriel!I111</f>
        <v>456.8</v>
      </c>
      <c r="H111" s="120">
        <f>(G111-E111)/E111</f>
        <v>-3.6286919831223605E-2</v>
      </c>
      <c r="I111" s="145">
        <f>Table_Semestriel[[#This Row],[S1_2025 ]]+Table_Semestriel[[#This Row],[S2_2025]]</f>
        <v>1272.3</v>
      </c>
      <c r="J111" s="120">
        <f>(Table_Annuel[[#This Row],[2025]]-Table_Annuel[[#This Row],[2024]])/Table_Annuel[[#This Row],[2024]]</f>
        <v>1.785245183887916</v>
      </c>
    </row>
    <row r="112" spans="1:11" x14ac:dyDescent="0.35">
      <c r="A112" s="60" t="s">
        <v>39</v>
      </c>
      <c r="B112" s="59" t="s">
        <v>97</v>
      </c>
      <c r="C112" s="12" t="s">
        <v>59</v>
      </c>
      <c r="D112" s="147">
        <f>Table_Trims[[#This Row],[2022_T4]]</f>
        <v>0</v>
      </c>
      <c r="E112" s="147">
        <f>Table_Trims[[#This Row],[2023_T4]]</f>
        <v>1150</v>
      </c>
      <c r="F112" s="123" t="e">
        <f t="shared" si="10"/>
        <v>#DIV/0!</v>
      </c>
      <c r="G112" s="147">
        <f>Table_Trims[[#This Row],[2024_T4]]</f>
        <v>1872</v>
      </c>
      <c r="H112" s="120">
        <f>(G112-E112)/E112</f>
        <v>0.62782608695652176</v>
      </c>
      <c r="I112" s="145">
        <f>Table_Trims[[#This Row],[2025_T4]]</f>
        <v>4246</v>
      </c>
      <c r="J112" s="164">
        <f>(Table_Annuel[[#This Row],[2025]]-Table_Annuel[[#This Row],[2024]])/Table_Annuel[[#This Row],[2024]]</f>
        <v>1.2681623931623931</v>
      </c>
    </row>
    <row r="113" spans="8:8" x14ac:dyDescent="0.35">
      <c r="H113" s="98"/>
    </row>
  </sheetData>
  <pageMargins left="0.7" right="0.7" top="0.75" bottom="0.75" header="0.3" footer="0.3"/>
  <headerFooter>
    <oddFooter>&amp;R_x000D_&amp;1#&amp;"Calibri"&amp;10&amp;K008000 Attijariwafa bank DIFFUSABLE</oddFooter>
  </headerFooter>
  <ignoredErrors>
    <ignoredError sqref="D20:E20 D23:E23 D26:E26 D29:E29 D33:E33 D35:E35 D38:E38 D41:E41 E48 D52:E52 D56:E56 D58:E58 D62:E62 D66:E66 D74:E74 D77:E77 D81:E81 D84:E84 D87:E87 D91:E91 D94:E94 D96:E96 D98:E98 D108:E108 D112:E112 E70 G20 G23 G26 G29 G33 G35 G38 G41 G48 G52 G56 G58 G62 G66 G74 G77 G81 G84 G87 G91 G94 G96 G98 G102 G105 G108 G112 F14:F15" calculatedColumn="1"/>
    <ignoredError sqref="I33:I39 I96:I97 I20:I26 I94:I95 I56" formula="1"/>
  </ignoredErrors>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56590-869F-4F50-9867-B30E2C33BC62}">
  <dimension ref="A1:G2658"/>
  <sheetViews>
    <sheetView workbookViewId="0">
      <selection activeCell="J615" sqref="J615"/>
    </sheetView>
  </sheetViews>
  <sheetFormatPr baseColWidth="10" defaultRowHeight="14.5" x14ac:dyDescent="0.35"/>
  <cols>
    <col min="1" max="1" width="31.7265625" bestFit="1" customWidth="1"/>
    <col min="2" max="2" width="8.7265625" bestFit="1" customWidth="1"/>
    <col min="3" max="3" width="13.26953125" bestFit="1" customWidth="1"/>
    <col min="4" max="4" width="9" bestFit="1" customWidth="1"/>
    <col min="5" max="5" width="10.26953125" bestFit="1" customWidth="1"/>
    <col min="6" max="6" width="9" bestFit="1" customWidth="1"/>
    <col min="7" max="7" width="14.54296875" bestFit="1" customWidth="1"/>
  </cols>
  <sheetData>
    <row r="1" spans="1:7" x14ac:dyDescent="0.35">
      <c r="A1" t="s">
        <v>138</v>
      </c>
      <c r="B1" t="s">
        <v>128</v>
      </c>
      <c r="C1" t="s">
        <v>129</v>
      </c>
      <c r="D1" t="s">
        <v>139</v>
      </c>
      <c r="E1" t="s">
        <v>140</v>
      </c>
      <c r="F1" t="s">
        <v>141</v>
      </c>
      <c r="G1" t="s">
        <v>142</v>
      </c>
    </row>
    <row r="2" spans="1:7" x14ac:dyDescent="0.35">
      <c r="A2" t="s">
        <v>1</v>
      </c>
      <c r="B2" t="s">
        <v>64</v>
      </c>
      <c r="C2" t="s">
        <v>57</v>
      </c>
      <c r="D2">
        <v>2022</v>
      </c>
      <c r="E2" t="s">
        <v>60</v>
      </c>
      <c r="F2">
        <v>1960</v>
      </c>
      <c r="G2" t="s">
        <v>143</v>
      </c>
    </row>
    <row r="3" spans="1:7" x14ac:dyDescent="0.35">
      <c r="A3" t="s">
        <v>1</v>
      </c>
      <c r="B3" t="s">
        <v>64</v>
      </c>
      <c r="C3" t="s">
        <v>57</v>
      </c>
      <c r="D3">
        <v>2022</v>
      </c>
      <c r="E3" t="s">
        <v>61</v>
      </c>
      <c r="F3">
        <v>1122</v>
      </c>
      <c r="G3" t="s">
        <v>143</v>
      </c>
    </row>
    <row r="4" spans="1:7" x14ac:dyDescent="0.35">
      <c r="A4" t="s">
        <v>1</v>
      </c>
      <c r="B4" t="s">
        <v>64</v>
      </c>
      <c r="C4" t="s">
        <v>57</v>
      </c>
      <c r="D4">
        <v>2022</v>
      </c>
      <c r="E4" t="s">
        <v>63</v>
      </c>
      <c r="F4">
        <v>1063</v>
      </c>
      <c r="G4" t="s">
        <v>143</v>
      </c>
    </row>
    <row r="5" spans="1:7" x14ac:dyDescent="0.35">
      <c r="A5" t="s">
        <v>1</v>
      </c>
      <c r="B5" t="s">
        <v>64</v>
      </c>
      <c r="C5" t="s">
        <v>57</v>
      </c>
      <c r="D5">
        <v>2022</v>
      </c>
      <c r="E5" t="s">
        <v>144</v>
      </c>
      <c r="F5">
        <v>1258</v>
      </c>
      <c r="G5" t="s">
        <v>143</v>
      </c>
    </row>
    <row r="6" spans="1:7" x14ac:dyDescent="0.35">
      <c r="A6" t="s">
        <v>1</v>
      </c>
      <c r="B6" t="s">
        <v>64</v>
      </c>
      <c r="C6" t="s">
        <v>57</v>
      </c>
      <c r="D6">
        <v>2023</v>
      </c>
      <c r="E6" t="s">
        <v>60</v>
      </c>
      <c r="F6">
        <v>1893</v>
      </c>
      <c r="G6" t="s">
        <v>143</v>
      </c>
    </row>
    <row r="7" spans="1:7" x14ac:dyDescent="0.35">
      <c r="A7" t="s">
        <v>1</v>
      </c>
      <c r="B7" t="s">
        <v>64</v>
      </c>
      <c r="C7" t="s">
        <v>57</v>
      </c>
      <c r="D7">
        <v>2023</v>
      </c>
      <c r="E7" t="s">
        <v>61</v>
      </c>
      <c r="F7">
        <v>1192</v>
      </c>
      <c r="G7" t="s">
        <v>143</v>
      </c>
    </row>
    <row r="8" spans="1:7" x14ac:dyDescent="0.35">
      <c r="A8" t="s">
        <v>1</v>
      </c>
      <c r="B8" t="s">
        <v>64</v>
      </c>
      <c r="C8" t="s">
        <v>57</v>
      </c>
      <c r="D8">
        <v>2023</v>
      </c>
      <c r="E8" t="s">
        <v>63</v>
      </c>
      <c r="F8">
        <v>906</v>
      </c>
      <c r="G8" t="s">
        <v>143</v>
      </c>
    </row>
    <row r="9" spans="1:7" x14ac:dyDescent="0.35">
      <c r="A9" t="s">
        <v>1</v>
      </c>
      <c r="B9" t="s">
        <v>64</v>
      </c>
      <c r="C9" t="s">
        <v>57</v>
      </c>
      <c r="D9">
        <v>2023</v>
      </c>
      <c r="E9" t="s">
        <v>144</v>
      </c>
      <c r="F9">
        <v>1121</v>
      </c>
      <c r="G9" t="s">
        <v>143</v>
      </c>
    </row>
    <row r="10" spans="1:7" x14ac:dyDescent="0.35">
      <c r="A10" t="s">
        <v>1</v>
      </c>
      <c r="B10" t="s">
        <v>64</v>
      </c>
      <c r="C10" t="s">
        <v>57</v>
      </c>
      <c r="D10">
        <v>2024</v>
      </c>
      <c r="E10" t="s">
        <v>60</v>
      </c>
      <c r="F10">
        <v>1962</v>
      </c>
      <c r="G10" t="s">
        <v>143</v>
      </c>
    </row>
    <row r="11" spans="1:7" x14ac:dyDescent="0.35">
      <c r="A11" t="s">
        <v>1</v>
      </c>
      <c r="B11" t="s">
        <v>64</v>
      </c>
      <c r="C11" t="s">
        <v>57</v>
      </c>
      <c r="D11">
        <v>2024</v>
      </c>
      <c r="E11" t="s">
        <v>61</v>
      </c>
      <c r="F11">
        <v>1134</v>
      </c>
      <c r="G11" t="s">
        <v>143</v>
      </c>
    </row>
    <row r="12" spans="1:7" x14ac:dyDescent="0.35">
      <c r="A12" t="s">
        <v>1</v>
      </c>
      <c r="B12" t="s">
        <v>64</v>
      </c>
      <c r="C12" t="s">
        <v>57</v>
      </c>
      <c r="D12">
        <v>2024</v>
      </c>
      <c r="E12" t="s">
        <v>63</v>
      </c>
      <c r="F12">
        <v>855</v>
      </c>
      <c r="G12" t="s">
        <v>143</v>
      </c>
    </row>
    <row r="13" spans="1:7" x14ac:dyDescent="0.35">
      <c r="A13" t="s">
        <v>1</v>
      </c>
      <c r="B13" t="s">
        <v>64</v>
      </c>
      <c r="C13" t="s">
        <v>57</v>
      </c>
      <c r="D13">
        <v>2024</v>
      </c>
      <c r="E13" t="s">
        <v>144</v>
      </c>
      <c r="F13">
        <v>1309</v>
      </c>
      <c r="G13" t="s">
        <v>143</v>
      </c>
    </row>
    <row r="14" spans="1:7" x14ac:dyDescent="0.35">
      <c r="A14" t="s">
        <v>1</v>
      </c>
      <c r="B14" t="s">
        <v>64</v>
      </c>
      <c r="C14" t="s">
        <v>57</v>
      </c>
      <c r="D14">
        <v>2025</v>
      </c>
      <c r="E14" t="s">
        <v>60</v>
      </c>
      <c r="F14">
        <v>2287</v>
      </c>
      <c r="G14" t="s">
        <v>143</v>
      </c>
    </row>
    <row r="15" spans="1:7" x14ac:dyDescent="0.35">
      <c r="A15" t="s">
        <v>1</v>
      </c>
      <c r="B15" t="s">
        <v>64</v>
      </c>
      <c r="C15" t="s">
        <v>57</v>
      </c>
      <c r="D15">
        <v>2025</v>
      </c>
      <c r="E15" t="s">
        <v>61</v>
      </c>
      <c r="F15">
        <v>1376</v>
      </c>
      <c r="G15" t="s">
        <v>143</v>
      </c>
    </row>
    <row r="16" spans="1:7" x14ac:dyDescent="0.35">
      <c r="A16" t="s">
        <v>1</v>
      </c>
      <c r="B16" t="s">
        <v>64</v>
      </c>
      <c r="C16" t="s">
        <v>57</v>
      </c>
      <c r="D16">
        <v>2025</v>
      </c>
      <c r="E16" t="s">
        <v>63</v>
      </c>
      <c r="F16">
        <v>876</v>
      </c>
      <c r="G16" t="s">
        <v>143</v>
      </c>
    </row>
    <row r="17" spans="1:7" x14ac:dyDescent="0.35">
      <c r="A17" t="s">
        <v>1</v>
      </c>
      <c r="B17" t="s">
        <v>64</v>
      </c>
      <c r="C17" t="s">
        <v>57</v>
      </c>
      <c r="D17">
        <v>2025</v>
      </c>
      <c r="E17" t="s">
        <v>144</v>
      </c>
      <c r="F17">
        <v>1511</v>
      </c>
      <c r="G17" t="s">
        <v>143</v>
      </c>
    </row>
    <row r="18" spans="1:7" x14ac:dyDescent="0.35">
      <c r="A18" t="s">
        <v>1</v>
      </c>
      <c r="B18" t="s">
        <v>64</v>
      </c>
      <c r="C18" t="s">
        <v>57</v>
      </c>
      <c r="D18">
        <v>2026</v>
      </c>
      <c r="E18" t="s">
        <v>60</v>
      </c>
      <c r="F18">
        <v>2373</v>
      </c>
      <c r="G18" t="s">
        <v>143</v>
      </c>
    </row>
    <row r="19" spans="1:7" x14ac:dyDescent="0.35">
      <c r="A19" t="s">
        <v>2</v>
      </c>
      <c r="B19" t="s">
        <v>65</v>
      </c>
      <c r="C19" t="s">
        <v>57</v>
      </c>
      <c r="D19">
        <v>2022</v>
      </c>
      <c r="E19" t="s">
        <v>60</v>
      </c>
      <c r="F19">
        <v>3117</v>
      </c>
      <c r="G19" t="s">
        <v>143</v>
      </c>
    </row>
    <row r="20" spans="1:7" x14ac:dyDescent="0.35">
      <c r="A20" t="s">
        <v>2</v>
      </c>
      <c r="B20" t="s">
        <v>65</v>
      </c>
      <c r="C20" t="s">
        <v>57</v>
      </c>
      <c r="D20">
        <v>2022</v>
      </c>
      <c r="E20" t="s">
        <v>61</v>
      </c>
      <c r="F20">
        <v>2776</v>
      </c>
      <c r="G20" t="s">
        <v>143</v>
      </c>
    </row>
    <row r="21" spans="1:7" x14ac:dyDescent="0.35">
      <c r="A21" t="s">
        <v>2</v>
      </c>
      <c r="B21" t="s">
        <v>65</v>
      </c>
      <c r="C21" t="s">
        <v>57</v>
      </c>
      <c r="D21">
        <v>2022</v>
      </c>
      <c r="E21" t="s">
        <v>63</v>
      </c>
      <c r="F21">
        <v>2560</v>
      </c>
      <c r="G21" t="s">
        <v>143</v>
      </c>
    </row>
    <row r="22" spans="1:7" x14ac:dyDescent="0.35">
      <c r="A22" t="s">
        <v>2</v>
      </c>
      <c r="B22" t="s">
        <v>65</v>
      </c>
      <c r="C22" t="s">
        <v>57</v>
      </c>
      <c r="D22">
        <v>2022</v>
      </c>
      <c r="E22" t="s">
        <v>144</v>
      </c>
      <c r="F22">
        <v>3185</v>
      </c>
      <c r="G22" t="s">
        <v>143</v>
      </c>
    </row>
    <row r="23" spans="1:7" x14ac:dyDescent="0.35">
      <c r="A23" t="s">
        <v>2</v>
      </c>
      <c r="B23" t="s">
        <v>65</v>
      </c>
      <c r="C23" t="s">
        <v>57</v>
      </c>
      <c r="D23">
        <v>2023</v>
      </c>
      <c r="E23" t="s">
        <v>60</v>
      </c>
      <c r="F23">
        <v>3605</v>
      </c>
      <c r="G23" t="s">
        <v>143</v>
      </c>
    </row>
    <row r="24" spans="1:7" x14ac:dyDescent="0.35">
      <c r="A24" t="s">
        <v>2</v>
      </c>
      <c r="B24" t="s">
        <v>65</v>
      </c>
      <c r="C24" t="s">
        <v>57</v>
      </c>
      <c r="D24">
        <v>2023</v>
      </c>
      <c r="E24" t="s">
        <v>61</v>
      </c>
      <c r="F24">
        <v>2928</v>
      </c>
      <c r="G24" t="s">
        <v>143</v>
      </c>
    </row>
    <row r="25" spans="1:7" x14ac:dyDescent="0.35">
      <c r="A25" t="s">
        <v>2</v>
      </c>
      <c r="B25" t="s">
        <v>65</v>
      </c>
      <c r="C25" t="s">
        <v>57</v>
      </c>
      <c r="D25">
        <v>2023</v>
      </c>
      <c r="E25" t="s">
        <v>63</v>
      </c>
      <c r="F25">
        <v>3119</v>
      </c>
      <c r="G25" t="s">
        <v>143</v>
      </c>
    </row>
    <row r="26" spans="1:7" x14ac:dyDescent="0.35">
      <c r="A26" t="s">
        <v>2</v>
      </c>
      <c r="B26" t="s">
        <v>65</v>
      </c>
      <c r="C26" t="s">
        <v>57</v>
      </c>
      <c r="D26">
        <v>2023</v>
      </c>
      <c r="E26" t="s">
        <v>144</v>
      </c>
      <c r="F26">
        <v>3072</v>
      </c>
      <c r="G26" t="s">
        <v>143</v>
      </c>
    </row>
    <row r="27" spans="1:7" x14ac:dyDescent="0.35">
      <c r="A27" t="s">
        <v>2</v>
      </c>
      <c r="B27" t="s">
        <v>65</v>
      </c>
      <c r="C27" t="s">
        <v>57</v>
      </c>
      <c r="D27">
        <v>2024</v>
      </c>
      <c r="E27" t="s">
        <v>60</v>
      </c>
      <c r="F27">
        <v>4073</v>
      </c>
      <c r="G27" t="s">
        <v>143</v>
      </c>
    </row>
    <row r="28" spans="1:7" x14ac:dyDescent="0.35">
      <c r="A28" t="s">
        <v>2</v>
      </c>
      <c r="B28" t="s">
        <v>65</v>
      </c>
      <c r="C28" t="s">
        <v>57</v>
      </c>
      <c r="D28">
        <v>2024</v>
      </c>
      <c r="E28" t="s">
        <v>61</v>
      </c>
      <c r="F28">
        <v>3027</v>
      </c>
      <c r="G28" t="s">
        <v>143</v>
      </c>
    </row>
    <row r="29" spans="1:7" x14ac:dyDescent="0.35">
      <c r="A29" t="s">
        <v>2</v>
      </c>
      <c r="B29" t="s">
        <v>65</v>
      </c>
      <c r="C29" t="s">
        <v>57</v>
      </c>
      <c r="D29">
        <v>2024</v>
      </c>
      <c r="E29" t="s">
        <v>63</v>
      </c>
      <c r="F29">
        <v>2809</v>
      </c>
      <c r="G29" t="s">
        <v>143</v>
      </c>
    </row>
    <row r="30" spans="1:7" x14ac:dyDescent="0.35">
      <c r="A30" t="s">
        <v>2</v>
      </c>
      <c r="B30" t="s">
        <v>65</v>
      </c>
      <c r="C30" t="s">
        <v>57</v>
      </c>
      <c r="D30">
        <v>2024</v>
      </c>
      <c r="E30" t="s">
        <v>144</v>
      </c>
      <c r="F30">
        <v>3158</v>
      </c>
      <c r="G30" t="s">
        <v>143</v>
      </c>
    </row>
    <row r="31" spans="1:7" x14ac:dyDescent="0.35">
      <c r="A31" t="s">
        <v>2</v>
      </c>
      <c r="B31" t="s">
        <v>65</v>
      </c>
      <c r="C31" t="s">
        <v>57</v>
      </c>
      <c r="D31">
        <v>2025</v>
      </c>
      <c r="E31" t="s">
        <v>60</v>
      </c>
      <c r="F31">
        <v>4352</v>
      </c>
      <c r="G31" t="s">
        <v>143</v>
      </c>
    </row>
    <row r="32" spans="1:7" x14ac:dyDescent="0.35">
      <c r="A32" t="s">
        <v>2</v>
      </c>
      <c r="B32" t="s">
        <v>65</v>
      </c>
      <c r="C32" t="s">
        <v>57</v>
      </c>
      <c r="D32">
        <v>2025</v>
      </c>
      <c r="E32" t="s">
        <v>61</v>
      </c>
      <c r="F32">
        <v>3530</v>
      </c>
      <c r="G32" t="s">
        <v>143</v>
      </c>
    </row>
    <row r="33" spans="1:7" x14ac:dyDescent="0.35">
      <c r="A33" t="s">
        <v>2</v>
      </c>
      <c r="B33" t="s">
        <v>65</v>
      </c>
      <c r="C33" t="s">
        <v>57</v>
      </c>
      <c r="D33">
        <v>2025</v>
      </c>
      <c r="E33" t="s">
        <v>63</v>
      </c>
      <c r="F33">
        <v>3037</v>
      </c>
      <c r="G33" t="s">
        <v>143</v>
      </c>
    </row>
    <row r="34" spans="1:7" x14ac:dyDescent="0.35">
      <c r="A34" t="s">
        <v>2</v>
      </c>
      <c r="B34" t="s">
        <v>65</v>
      </c>
      <c r="C34" t="s">
        <v>57</v>
      </c>
      <c r="D34">
        <v>2025</v>
      </c>
      <c r="E34" t="s">
        <v>144</v>
      </c>
      <c r="F34">
        <v>4307</v>
      </c>
      <c r="G34" t="s">
        <v>143</v>
      </c>
    </row>
    <row r="35" spans="1:7" x14ac:dyDescent="0.35">
      <c r="A35" t="s">
        <v>2</v>
      </c>
      <c r="B35" t="s">
        <v>65</v>
      </c>
      <c r="C35" t="s">
        <v>57</v>
      </c>
      <c r="D35">
        <v>2026</v>
      </c>
      <c r="E35" t="s">
        <v>60</v>
      </c>
      <c r="F35">
        <v>6400</v>
      </c>
      <c r="G35" t="s">
        <v>143</v>
      </c>
    </row>
    <row r="36" spans="1:7" x14ac:dyDescent="0.35">
      <c r="A36" t="s">
        <v>161</v>
      </c>
      <c r="B36" t="s">
        <v>162</v>
      </c>
      <c r="C36" t="s">
        <v>57</v>
      </c>
      <c r="D36">
        <v>2022</v>
      </c>
      <c r="E36" t="s">
        <v>60</v>
      </c>
      <c r="F36">
        <v>1794</v>
      </c>
      <c r="G36" t="s">
        <v>143</v>
      </c>
    </row>
    <row r="37" spans="1:7" x14ac:dyDescent="0.35">
      <c r="A37" t="s">
        <v>161</v>
      </c>
      <c r="B37" t="s">
        <v>162</v>
      </c>
      <c r="C37" t="s">
        <v>57</v>
      </c>
      <c r="D37">
        <v>2022</v>
      </c>
      <c r="E37" t="s">
        <v>61</v>
      </c>
      <c r="F37">
        <v>1573</v>
      </c>
      <c r="G37" t="s">
        <v>143</v>
      </c>
    </row>
    <row r="38" spans="1:7" x14ac:dyDescent="0.35">
      <c r="A38" t="s">
        <v>161</v>
      </c>
      <c r="B38" t="s">
        <v>162</v>
      </c>
      <c r="C38" t="s">
        <v>57</v>
      </c>
      <c r="D38">
        <v>2022</v>
      </c>
      <c r="E38" t="s">
        <v>63</v>
      </c>
      <c r="F38">
        <v>1263</v>
      </c>
      <c r="G38" t="s">
        <v>143</v>
      </c>
    </row>
    <row r="39" spans="1:7" x14ac:dyDescent="0.35">
      <c r="A39" t="s">
        <v>161</v>
      </c>
      <c r="B39" t="s">
        <v>162</v>
      </c>
      <c r="C39" t="s">
        <v>57</v>
      </c>
      <c r="D39">
        <v>2022</v>
      </c>
      <c r="E39" t="s">
        <v>144</v>
      </c>
      <c r="F39">
        <v>1325</v>
      </c>
      <c r="G39" t="s">
        <v>143</v>
      </c>
    </row>
    <row r="40" spans="1:7" x14ac:dyDescent="0.35">
      <c r="A40" t="s">
        <v>161</v>
      </c>
      <c r="B40" t="s">
        <v>162</v>
      </c>
      <c r="C40" t="s">
        <v>57</v>
      </c>
      <c r="D40">
        <v>2023</v>
      </c>
      <c r="E40" t="s">
        <v>60</v>
      </c>
      <c r="F40">
        <v>2193</v>
      </c>
      <c r="G40" t="s">
        <v>143</v>
      </c>
    </row>
    <row r="41" spans="1:7" x14ac:dyDescent="0.35">
      <c r="A41" t="s">
        <v>161</v>
      </c>
      <c r="B41" t="s">
        <v>162</v>
      </c>
      <c r="C41" t="s">
        <v>57</v>
      </c>
      <c r="D41">
        <v>2023</v>
      </c>
      <c r="E41" t="s">
        <v>61</v>
      </c>
      <c r="F41">
        <v>1300</v>
      </c>
      <c r="G41" t="s">
        <v>143</v>
      </c>
    </row>
    <row r="42" spans="1:7" x14ac:dyDescent="0.35">
      <c r="A42" t="s">
        <v>161</v>
      </c>
      <c r="B42" t="s">
        <v>162</v>
      </c>
      <c r="C42" t="s">
        <v>57</v>
      </c>
      <c r="D42">
        <v>2023</v>
      </c>
      <c r="E42" t="s">
        <v>63</v>
      </c>
      <c r="F42">
        <v>1281</v>
      </c>
      <c r="G42" t="s">
        <v>143</v>
      </c>
    </row>
    <row r="43" spans="1:7" x14ac:dyDescent="0.35">
      <c r="A43" t="s">
        <v>161</v>
      </c>
      <c r="B43" t="s">
        <v>162</v>
      </c>
      <c r="C43" t="s">
        <v>57</v>
      </c>
      <c r="D43">
        <v>2023</v>
      </c>
      <c r="E43" t="s">
        <v>144</v>
      </c>
      <c r="F43">
        <v>1378</v>
      </c>
      <c r="G43" t="s">
        <v>143</v>
      </c>
    </row>
    <row r="44" spans="1:7" x14ac:dyDescent="0.35">
      <c r="A44" t="s">
        <v>161</v>
      </c>
      <c r="B44" t="s">
        <v>162</v>
      </c>
      <c r="C44" t="s">
        <v>57</v>
      </c>
      <c r="D44">
        <v>2024</v>
      </c>
      <c r="E44" t="s">
        <v>60</v>
      </c>
      <c r="F44">
        <v>2147</v>
      </c>
      <c r="G44" t="s">
        <v>143</v>
      </c>
    </row>
    <row r="45" spans="1:7" x14ac:dyDescent="0.35">
      <c r="A45" t="s">
        <v>161</v>
      </c>
      <c r="B45" t="s">
        <v>162</v>
      </c>
      <c r="C45" t="s">
        <v>57</v>
      </c>
      <c r="D45">
        <v>2024</v>
      </c>
      <c r="E45" t="s">
        <v>61</v>
      </c>
      <c r="F45">
        <v>1388</v>
      </c>
      <c r="G45" t="s">
        <v>143</v>
      </c>
    </row>
    <row r="46" spans="1:7" x14ac:dyDescent="0.35">
      <c r="A46" t="s">
        <v>161</v>
      </c>
      <c r="B46" t="s">
        <v>162</v>
      </c>
      <c r="C46" t="s">
        <v>57</v>
      </c>
      <c r="D46">
        <v>2024</v>
      </c>
      <c r="E46" t="s">
        <v>63</v>
      </c>
      <c r="F46">
        <v>1385</v>
      </c>
      <c r="G46" t="s">
        <v>143</v>
      </c>
    </row>
    <row r="47" spans="1:7" x14ac:dyDescent="0.35">
      <c r="A47" t="s">
        <v>161</v>
      </c>
      <c r="B47" t="s">
        <v>162</v>
      </c>
      <c r="C47" t="s">
        <v>57</v>
      </c>
      <c r="D47">
        <v>2024</v>
      </c>
      <c r="E47" t="s">
        <v>144</v>
      </c>
      <c r="F47">
        <v>1361</v>
      </c>
      <c r="G47" t="s">
        <v>143</v>
      </c>
    </row>
    <row r="48" spans="1:7" x14ac:dyDescent="0.35">
      <c r="A48" t="s">
        <v>161</v>
      </c>
      <c r="B48" t="s">
        <v>162</v>
      </c>
      <c r="C48" t="s">
        <v>57</v>
      </c>
      <c r="D48">
        <v>2025</v>
      </c>
      <c r="E48" t="s">
        <v>60</v>
      </c>
      <c r="F48">
        <v>2080</v>
      </c>
      <c r="G48" t="s">
        <v>143</v>
      </c>
    </row>
    <row r="49" spans="1:7" x14ac:dyDescent="0.35">
      <c r="A49" t="s">
        <v>161</v>
      </c>
      <c r="B49" t="s">
        <v>162</v>
      </c>
      <c r="C49" t="s">
        <v>57</v>
      </c>
      <c r="D49">
        <v>2025</v>
      </c>
      <c r="E49" t="s">
        <v>61</v>
      </c>
      <c r="F49">
        <v>1350</v>
      </c>
      <c r="G49" t="s">
        <v>143</v>
      </c>
    </row>
    <row r="50" spans="1:7" x14ac:dyDescent="0.35">
      <c r="A50" t="s">
        <v>161</v>
      </c>
      <c r="B50" t="s">
        <v>162</v>
      </c>
      <c r="C50" t="s">
        <v>57</v>
      </c>
      <c r="D50">
        <v>2025</v>
      </c>
      <c r="E50" t="s">
        <v>63</v>
      </c>
      <c r="F50">
        <v>1429</v>
      </c>
      <c r="G50" t="s">
        <v>143</v>
      </c>
    </row>
    <row r="51" spans="1:7" x14ac:dyDescent="0.35">
      <c r="A51" t="s">
        <v>161</v>
      </c>
      <c r="B51" t="s">
        <v>162</v>
      </c>
      <c r="C51" t="s">
        <v>57</v>
      </c>
      <c r="D51">
        <v>2025</v>
      </c>
      <c r="E51" t="s">
        <v>144</v>
      </c>
      <c r="F51">
        <v>1336</v>
      </c>
      <c r="G51" t="s">
        <v>143</v>
      </c>
    </row>
    <row r="52" spans="1:7" x14ac:dyDescent="0.35">
      <c r="A52" t="s">
        <v>161</v>
      </c>
      <c r="B52" t="s">
        <v>162</v>
      </c>
      <c r="C52" t="s">
        <v>57</v>
      </c>
      <c r="D52">
        <v>2026</v>
      </c>
      <c r="E52" t="s">
        <v>60</v>
      </c>
      <c r="F52">
        <v>2277</v>
      </c>
      <c r="G52" t="s">
        <v>143</v>
      </c>
    </row>
    <row r="53" spans="1:7" x14ac:dyDescent="0.35">
      <c r="A53" t="s">
        <v>11</v>
      </c>
      <c r="B53" t="s">
        <v>72</v>
      </c>
      <c r="C53" t="s">
        <v>57</v>
      </c>
      <c r="D53">
        <v>2022</v>
      </c>
      <c r="E53" t="s">
        <v>60</v>
      </c>
      <c r="F53">
        <v>94</v>
      </c>
      <c r="G53" t="s">
        <v>143</v>
      </c>
    </row>
    <row r="54" spans="1:7" x14ac:dyDescent="0.35">
      <c r="A54" t="s">
        <v>11</v>
      </c>
      <c r="B54" t="s">
        <v>72</v>
      </c>
      <c r="C54" t="s">
        <v>57</v>
      </c>
      <c r="D54">
        <v>2022</v>
      </c>
      <c r="E54" t="s">
        <v>61</v>
      </c>
      <c r="F54">
        <v>101</v>
      </c>
      <c r="G54" t="s">
        <v>143</v>
      </c>
    </row>
    <row r="55" spans="1:7" x14ac:dyDescent="0.35">
      <c r="A55" t="s">
        <v>11</v>
      </c>
      <c r="B55" t="s">
        <v>72</v>
      </c>
      <c r="C55" t="s">
        <v>57</v>
      </c>
      <c r="D55">
        <v>2022</v>
      </c>
      <c r="E55" t="s">
        <v>63</v>
      </c>
      <c r="F55">
        <v>95</v>
      </c>
      <c r="G55" t="s">
        <v>143</v>
      </c>
    </row>
    <row r="56" spans="1:7" x14ac:dyDescent="0.35">
      <c r="A56" t="s">
        <v>11</v>
      </c>
      <c r="B56" t="s">
        <v>72</v>
      </c>
      <c r="C56" t="s">
        <v>57</v>
      </c>
      <c r="D56">
        <v>2022</v>
      </c>
      <c r="E56" t="s">
        <v>144</v>
      </c>
      <c r="F56">
        <v>109</v>
      </c>
      <c r="G56" t="s">
        <v>143</v>
      </c>
    </row>
    <row r="57" spans="1:7" x14ac:dyDescent="0.35">
      <c r="A57" t="s">
        <v>11</v>
      </c>
      <c r="B57" t="s">
        <v>72</v>
      </c>
      <c r="C57" t="s">
        <v>57</v>
      </c>
      <c r="D57">
        <v>2023</v>
      </c>
      <c r="E57" t="s">
        <v>60</v>
      </c>
      <c r="F57">
        <v>95</v>
      </c>
      <c r="G57" t="s">
        <v>143</v>
      </c>
    </row>
    <row r="58" spans="1:7" x14ac:dyDescent="0.35">
      <c r="A58" t="s">
        <v>11</v>
      </c>
      <c r="B58" t="s">
        <v>72</v>
      </c>
      <c r="C58" t="s">
        <v>57</v>
      </c>
      <c r="D58">
        <v>2023</v>
      </c>
      <c r="E58" t="s">
        <v>61</v>
      </c>
      <c r="F58">
        <v>97</v>
      </c>
      <c r="G58" t="s">
        <v>143</v>
      </c>
    </row>
    <row r="59" spans="1:7" x14ac:dyDescent="0.35">
      <c r="A59" t="s">
        <v>11</v>
      </c>
      <c r="B59" t="s">
        <v>72</v>
      </c>
      <c r="C59" t="s">
        <v>57</v>
      </c>
      <c r="D59">
        <v>2023</v>
      </c>
      <c r="E59" t="s">
        <v>63</v>
      </c>
      <c r="F59">
        <v>98</v>
      </c>
      <c r="G59" t="s">
        <v>143</v>
      </c>
    </row>
    <row r="60" spans="1:7" x14ac:dyDescent="0.35">
      <c r="A60" t="s">
        <v>11</v>
      </c>
      <c r="B60" t="s">
        <v>72</v>
      </c>
      <c r="C60" t="s">
        <v>57</v>
      </c>
      <c r="D60">
        <v>2023</v>
      </c>
      <c r="E60" t="s">
        <v>144</v>
      </c>
      <c r="F60">
        <v>106</v>
      </c>
      <c r="G60" t="s">
        <v>143</v>
      </c>
    </row>
    <row r="61" spans="1:7" x14ac:dyDescent="0.35">
      <c r="A61" t="s">
        <v>11</v>
      </c>
      <c r="B61" t="s">
        <v>72</v>
      </c>
      <c r="C61" t="s">
        <v>57</v>
      </c>
      <c r="D61">
        <v>2024</v>
      </c>
      <c r="E61" t="s">
        <v>60</v>
      </c>
      <c r="F61">
        <v>93</v>
      </c>
      <c r="G61" t="s">
        <v>143</v>
      </c>
    </row>
    <row r="62" spans="1:7" x14ac:dyDescent="0.35">
      <c r="A62" t="s">
        <v>11</v>
      </c>
      <c r="B62" t="s">
        <v>72</v>
      </c>
      <c r="C62" t="s">
        <v>57</v>
      </c>
      <c r="D62">
        <v>2024</v>
      </c>
      <c r="E62" t="s">
        <v>61</v>
      </c>
      <c r="F62">
        <v>93</v>
      </c>
      <c r="G62" t="s">
        <v>143</v>
      </c>
    </row>
    <row r="63" spans="1:7" x14ac:dyDescent="0.35">
      <c r="A63" t="s">
        <v>11</v>
      </c>
      <c r="B63" t="s">
        <v>72</v>
      </c>
      <c r="C63" t="s">
        <v>57</v>
      </c>
      <c r="D63">
        <v>2024</v>
      </c>
      <c r="E63" t="s">
        <v>63</v>
      </c>
      <c r="F63">
        <v>95</v>
      </c>
      <c r="G63" t="s">
        <v>143</v>
      </c>
    </row>
    <row r="64" spans="1:7" x14ac:dyDescent="0.35">
      <c r="A64" t="s">
        <v>11</v>
      </c>
      <c r="B64" t="s">
        <v>72</v>
      </c>
      <c r="C64" t="s">
        <v>57</v>
      </c>
      <c r="D64">
        <v>2024</v>
      </c>
      <c r="E64" t="s">
        <v>144</v>
      </c>
      <c r="F64">
        <v>98</v>
      </c>
      <c r="G64" t="s">
        <v>143</v>
      </c>
    </row>
    <row r="65" spans="1:7" x14ac:dyDescent="0.35">
      <c r="A65" t="s">
        <v>11</v>
      </c>
      <c r="B65" t="s">
        <v>72</v>
      </c>
      <c r="C65" t="s">
        <v>57</v>
      </c>
      <c r="D65">
        <v>2025</v>
      </c>
      <c r="E65" t="s">
        <v>60</v>
      </c>
      <c r="F65">
        <v>94</v>
      </c>
      <c r="G65" t="s">
        <v>143</v>
      </c>
    </row>
    <row r="66" spans="1:7" x14ac:dyDescent="0.35">
      <c r="A66" t="s">
        <v>11</v>
      </c>
      <c r="B66" t="s">
        <v>72</v>
      </c>
      <c r="C66" t="s">
        <v>57</v>
      </c>
      <c r="D66">
        <v>2025</v>
      </c>
      <c r="E66" t="s">
        <v>61</v>
      </c>
      <c r="F66">
        <v>97</v>
      </c>
      <c r="G66" t="s">
        <v>143</v>
      </c>
    </row>
    <row r="67" spans="1:7" x14ac:dyDescent="0.35">
      <c r="A67" t="s">
        <v>11</v>
      </c>
      <c r="B67" t="s">
        <v>72</v>
      </c>
      <c r="C67" t="s">
        <v>57</v>
      </c>
      <c r="D67">
        <v>2025</v>
      </c>
      <c r="E67" t="s">
        <v>63</v>
      </c>
      <c r="F67">
        <v>95</v>
      </c>
      <c r="G67" t="s">
        <v>143</v>
      </c>
    </row>
    <row r="68" spans="1:7" x14ac:dyDescent="0.35">
      <c r="A68" t="s">
        <v>11</v>
      </c>
      <c r="B68" t="s">
        <v>72</v>
      </c>
      <c r="C68" t="s">
        <v>57</v>
      </c>
      <c r="D68">
        <v>2025</v>
      </c>
      <c r="E68" t="s">
        <v>144</v>
      </c>
      <c r="F68">
        <v>98</v>
      </c>
      <c r="G68" t="s">
        <v>143</v>
      </c>
    </row>
    <row r="69" spans="1:7" x14ac:dyDescent="0.35">
      <c r="A69" t="s">
        <v>11</v>
      </c>
      <c r="B69" t="s">
        <v>72</v>
      </c>
      <c r="C69" t="s">
        <v>57</v>
      </c>
      <c r="D69">
        <v>2026</v>
      </c>
      <c r="E69" t="s">
        <v>60</v>
      </c>
      <c r="F69">
        <v>94</v>
      </c>
      <c r="G69" t="s">
        <v>143</v>
      </c>
    </row>
    <row r="70" spans="1:7" x14ac:dyDescent="0.35">
      <c r="A70" t="s">
        <v>3</v>
      </c>
      <c r="B70" t="s">
        <v>66</v>
      </c>
      <c r="C70" t="s">
        <v>57</v>
      </c>
      <c r="D70">
        <v>2022</v>
      </c>
      <c r="E70" t="s">
        <v>60</v>
      </c>
      <c r="F70">
        <v>6600</v>
      </c>
      <c r="G70" t="s">
        <v>143</v>
      </c>
    </row>
    <row r="71" spans="1:7" x14ac:dyDescent="0.35">
      <c r="A71" t="s">
        <v>3</v>
      </c>
      <c r="B71" t="s">
        <v>66</v>
      </c>
      <c r="C71" t="s">
        <v>57</v>
      </c>
      <c r="D71">
        <v>2022</v>
      </c>
      <c r="E71" t="s">
        <v>61</v>
      </c>
      <c r="F71">
        <v>6500</v>
      </c>
      <c r="G71" t="s">
        <v>143</v>
      </c>
    </row>
    <row r="72" spans="1:7" x14ac:dyDescent="0.35">
      <c r="A72" t="s">
        <v>3</v>
      </c>
      <c r="B72" t="s">
        <v>66</v>
      </c>
      <c r="C72" t="s">
        <v>57</v>
      </c>
      <c r="D72">
        <v>2022</v>
      </c>
      <c r="E72" t="s">
        <v>63</v>
      </c>
      <c r="F72">
        <v>6600</v>
      </c>
      <c r="G72" t="s">
        <v>143</v>
      </c>
    </row>
    <row r="73" spans="1:7" x14ac:dyDescent="0.35">
      <c r="A73" t="s">
        <v>3</v>
      </c>
      <c r="B73" t="s">
        <v>66</v>
      </c>
      <c r="C73" t="s">
        <v>57</v>
      </c>
      <c r="D73">
        <v>2022</v>
      </c>
      <c r="E73" t="s">
        <v>144</v>
      </c>
      <c r="F73">
        <v>6613</v>
      </c>
      <c r="G73" t="s">
        <v>143</v>
      </c>
    </row>
    <row r="74" spans="1:7" x14ac:dyDescent="0.35">
      <c r="A74" t="s">
        <v>3</v>
      </c>
      <c r="B74" t="s">
        <v>66</v>
      </c>
      <c r="C74" t="s">
        <v>57</v>
      </c>
      <c r="D74">
        <v>2023</v>
      </c>
      <c r="E74" t="s">
        <v>60</v>
      </c>
      <c r="F74">
        <v>6861</v>
      </c>
      <c r="G74" t="s">
        <v>143</v>
      </c>
    </row>
    <row r="75" spans="1:7" x14ac:dyDescent="0.35">
      <c r="A75" t="s">
        <v>3</v>
      </c>
      <c r="B75" t="s">
        <v>66</v>
      </c>
      <c r="C75" t="s">
        <v>57</v>
      </c>
      <c r="D75">
        <v>2023</v>
      </c>
      <c r="E75" t="s">
        <v>61</v>
      </c>
      <c r="F75">
        <v>7743</v>
      </c>
      <c r="G75" t="s">
        <v>143</v>
      </c>
    </row>
    <row r="76" spans="1:7" x14ac:dyDescent="0.35">
      <c r="A76" t="s">
        <v>3</v>
      </c>
      <c r="B76" t="s">
        <v>66</v>
      </c>
      <c r="C76" t="s">
        <v>57</v>
      </c>
      <c r="D76">
        <v>2023</v>
      </c>
      <c r="E76" t="s">
        <v>63</v>
      </c>
      <c r="F76">
        <v>7683</v>
      </c>
      <c r="G76" t="s">
        <v>143</v>
      </c>
    </row>
    <row r="77" spans="1:7" x14ac:dyDescent="0.35">
      <c r="A77" t="s">
        <v>3</v>
      </c>
      <c r="B77" t="s">
        <v>66</v>
      </c>
      <c r="C77" t="s">
        <v>57</v>
      </c>
      <c r="D77">
        <v>2023</v>
      </c>
      <c r="E77" t="s">
        <v>144</v>
      </c>
      <c r="F77">
        <v>7656</v>
      </c>
      <c r="G77" t="s">
        <v>143</v>
      </c>
    </row>
    <row r="78" spans="1:7" x14ac:dyDescent="0.35">
      <c r="A78" t="s">
        <v>3</v>
      </c>
      <c r="B78" t="s">
        <v>66</v>
      </c>
      <c r="C78" t="s">
        <v>57</v>
      </c>
      <c r="D78">
        <v>2024</v>
      </c>
      <c r="E78" t="s">
        <v>60</v>
      </c>
      <c r="F78">
        <v>8520</v>
      </c>
      <c r="G78" t="s">
        <v>143</v>
      </c>
    </row>
    <row r="79" spans="1:7" x14ac:dyDescent="0.35">
      <c r="A79" t="s">
        <v>3</v>
      </c>
      <c r="B79" t="s">
        <v>66</v>
      </c>
      <c r="C79" t="s">
        <v>57</v>
      </c>
      <c r="D79">
        <v>2024</v>
      </c>
      <c r="E79" t="s">
        <v>61</v>
      </c>
      <c r="F79">
        <v>8503</v>
      </c>
      <c r="G79" t="s">
        <v>143</v>
      </c>
    </row>
    <row r="80" spans="1:7" x14ac:dyDescent="0.35">
      <c r="A80" t="s">
        <v>3</v>
      </c>
      <c r="B80" t="s">
        <v>66</v>
      </c>
      <c r="C80" t="s">
        <v>57</v>
      </c>
      <c r="D80">
        <v>2024</v>
      </c>
      <c r="E80" t="s">
        <v>63</v>
      </c>
      <c r="F80">
        <v>8150</v>
      </c>
      <c r="G80" t="s">
        <v>143</v>
      </c>
    </row>
    <row r="81" spans="1:7" x14ac:dyDescent="0.35">
      <c r="A81" t="s">
        <v>3</v>
      </c>
      <c r="B81" t="s">
        <v>66</v>
      </c>
      <c r="C81" t="s">
        <v>57</v>
      </c>
      <c r="D81">
        <v>2024</v>
      </c>
      <c r="E81" t="s">
        <v>144</v>
      </c>
      <c r="F81">
        <v>9334</v>
      </c>
      <c r="G81" t="s">
        <v>143</v>
      </c>
    </row>
    <row r="82" spans="1:7" x14ac:dyDescent="0.35">
      <c r="A82" t="s">
        <v>3</v>
      </c>
      <c r="B82" t="s">
        <v>66</v>
      </c>
      <c r="C82" t="s">
        <v>57</v>
      </c>
      <c r="D82">
        <v>2025</v>
      </c>
      <c r="E82" t="s">
        <v>60</v>
      </c>
      <c r="F82">
        <v>9024</v>
      </c>
      <c r="G82" t="s">
        <v>143</v>
      </c>
    </row>
    <row r="83" spans="1:7" x14ac:dyDescent="0.35">
      <c r="A83" t="s">
        <v>3</v>
      </c>
      <c r="B83" t="s">
        <v>66</v>
      </c>
      <c r="C83" t="s">
        <v>57</v>
      </c>
      <c r="D83">
        <v>2025</v>
      </c>
      <c r="E83" t="s">
        <v>61</v>
      </c>
      <c r="F83">
        <v>8672</v>
      </c>
      <c r="G83" t="s">
        <v>143</v>
      </c>
    </row>
    <row r="84" spans="1:7" x14ac:dyDescent="0.35">
      <c r="A84" t="s">
        <v>3</v>
      </c>
      <c r="B84" t="s">
        <v>66</v>
      </c>
      <c r="C84" t="s">
        <v>57</v>
      </c>
      <c r="D84">
        <v>2025</v>
      </c>
      <c r="E84" t="s">
        <v>63</v>
      </c>
      <c r="F84">
        <v>8658</v>
      </c>
      <c r="G84" t="s">
        <v>143</v>
      </c>
    </row>
    <row r="85" spans="1:7" x14ac:dyDescent="0.35">
      <c r="A85" t="s">
        <v>3</v>
      </c>
      <c r="B85" t="s">
        <v>66</v>
      </c>
      <c r="C85" t="s">
        <v>57</v>
      </c>
      <c r="D85">
        <v>2025</v>
      </c>
      <c r="E85" t="s">
        <v>144</v>
      </c>
      <c r="F85">
        <v>8567</v>
      </c>
      <c r="G85" t="s">
        <v>143</v>
      </c>
    </row>
    <row r="86" spans="1:7" x14ac:dyDescent="0.35">
      <c r="A86" t="s">
        <v>3</v>
      </c>
      <c r="B86" t="s">
        <v>66</v>
      </c>
      <c r="C86" t="s">
        <v>57</v>
      </c>
      <c r="D86">
        <v>2026</v>
      </c>
      <c r="E86" t="s">
        <v>60</v>
      </c>
      <c r="F86">
        <v>9287.857</v>
      </c>
      <c r="G86" t="s">
        <v>143</v>
      </c>
    </row>
    <row r="87" spans="1:7" x14ac:dyDescent="0.35">
      <c r="A87" t="s">
        <v>4</v>
      </c>
      <c r="B87" t="s">
        <v>67</v>
      </c>
      <c r="C87" t="s">
        <v>57</v>
      </c>
      <c r="D87">
        <v>2022</v>
      </c>
      <c r="E87" t="s">
        <v>60</v>
      </c>
      <c r="F87">
        <v>3630</v>
      </c>
      <c r="G87" t="s">
        <v>143</v>
      </c>
    </row>
    <row r="88" spans="1:7" x14ac:dyDescent="0.35">
      <c r="A88" t="s">
        <v>4</v>
      </c>
      <c r="B88" t="s">
        <v>67</v>
      </c>
      <c r="C88" t="s">
        <v>57</v>
      </c>
      <c r="D88">
        <v>2022</v>
      </c>
      <c r="E88" t="s">
        <v>61</v>
      </c>
      <c r="F88">
        <v>4070</v>
      </c>
      <c r="G88" t="s">
        <v>143</v>
      </c>
    </row>
    <row r="89" spans="1:7" x14ac:dyDescent="0.35">
      <c r="A89" t="s">
        <v>4</v>
      </c>
      <c r="B89" t="s">
        <v>67</v>
      </c>
      <c r="C89" t="s">
        <v>57</v>
      </c>
      <c r="D89">
        <v>2022</v>
      </c>
      <c r="E89" t="s">
        <v>63</v>
      </c>
      <c r="F89">
        <v>3655</v>
      </c>
      <c r="G89" t="s">
        <v>143</v>
      </c>
    </row>
    <row r="90" spans="1:7" x14ac:dyDescent="0.35">
      <c r="A90" t="s">
        <v>4</v>
      </c>
      <c r="B90" t="s">
        <v>67</v>
      </c>
      <c r="C90" t="s">
        <v>57</v>
      </c>
      <c r="D90">
        <v>2022</v>
      </c>
      <c r="E90" t="s">
        <v>144</v>
      </c>
      <c r="F90">
        <v>4271</v>
      </c>
      <c r="G90" t="s">
        <v>143</v>
      </c>
    </row>
    <row r="91" spans="1:7" x14ac:dyDescent="0.35">
      <c r="A91" t="s">
        <v>4</v>
      </c>
      <c r="B91" t="s">
        <v>67</v>
      </c>
      <c r="C91" t="s">
        <v>57</v>
      </c>
      <c r="D91">
        <v>2023</v>
      </c>
      <c r="E91" t="s">
        <v>60</v>
      </c>
      <c r="F91">
        <v>3834</v>
      </c>
      <c r="G91" t="s">
        <v>143</v>
      </c>
    </row>
    <row r="92" spans="1:7" x14ac:dyDescent="0.35">
      <c r="A92" t="s">
        <v>4</v>
      </c>
      <c r="B92" t="s">
        <v>67</v>
      </c>
      <c r="C92" t="s">
        <v>57</v>
      </c>
      <c r="D92">
        <v>2023</v>
      </c>
      <c r="E92" t="s">
        <v>61</v>
      </c>
      <c r="F92">
        <v>4571</v>
      </c>
      <c r="G92" t="s">
        <v>143</v>
      </c>
    </row>
    <row r="93" spans="1:7" x14ac:dyDescent="0.35">
      <c r="A93" t="s">
        <v>4</v>
      </c>
      <c r="B93" t="s">
        <v>67</v>
      </c>
      <c r="C93" t="s">
        <v>57</v>
      </c>
      <c r="D93">
        <v>2023</v>
      </c>
      <c r="E93" t="s">
        <v>63</v>
      </c>
      <c r="F93">
        <v>4194</v>
      </c>
      <c r="G93" t="s">
        <v>143</v>
      </c>
    </row>
    <row r="94" spans="1:7" x14ac:dyDescent="0.35">
      <c r="A94" t="s">
        <v>4</v>
      </c>
      <c r="B94" t="s">
        <v>67</v>
      </c>
      <c r="C94" t="s">
        <v>57</v>
      </c>
      <c r="D94">
        <v>2023</v>
      </c>
      <c r="E94" t="s">
        <v>144</v>
      </c>
      <c r="F94">
        <v>4343</v>
      </c>
      <c r="G94" t="s">
        <v>143</v>
      </c>
    </row>
    <row r="95" spans="1:7" x14ac:dyDescent="0.35">
      <c r="A95" t="s">
        <v>4</v>
      </c>
      <c r="B95" t="s">
        <v>67</v>
      </c>
      <c r="C95" t="s">
        <v>57</v>
      </c>
      <c r="D95">
        <v>2024</v>
      </c>
      <c r="E95" t="s">
        <v>60</v>
      </c>
      <c r="F95">
        <v>4500</v>
      </c>
      <c r="G95" t="s">
        <v>143</v>
      </c>
    </row>
    <row r="96" spans="1:7" x14ac:dyDescent="0.35">
      <c r="A96" t="s">
        <v>4</v>
      </c>
      <c r="B96" t="s">
        <v>67</v>
      </c>
      <c r="C96" t="s">
        <v>57</v>
      </c>
      <c r="D96">
        <v>2024</v>
      </c>
      <c r="E96" t="s">
        <v>61</v>
      </c>
      <c r="F96">
        <v>5120</v>
      </c>
      <c r="G96" t="s">
        <v>143</v>
      </c>
    </row>
    <row r="97" spans="1:7" x14ac:dyDescent="0.35">
      <c r="A97" t="s">
        <v>4</v>
      </c>
      <c r="B97" t="s">
        <v>67</v>
      </c>
      <c r="C97" t="s">
        <v>57</v>
      </c>
      <c r="D97">
        <v>2024</v>
      </c>
      <c r="E97" t="s">
        <v>63</v>
      </c>
      <c r="F97">
        <v>4480</v>
      </c>
      <c r="G97" t="s">
        <v>143</v>
      </c>
    </row>
    <row r="98" spans="1:7" x14ac:dyDescent="0.35">
      <c r="A98" t="s">
        <v>4</v>
      </c>
      <c r="B98" t="s">
        <v>67</v>
      </c>
      <c r="C98" t="s">
        <v>57</v>
      </c>
      <c r="D98">
        <v>2024</v>
      </c>
      <c r="E98" t="s">
        <v>144</v>
      </c>
      <c r="F98">
        <v>4522</v>
      </c>
      <c r="G98" t="s">
        <v>143</v>
      </c>
    </row>
    <row r="99" spans="1:7" x14ac:dyDescent="0.35">
      <c r="A99" t="s">
        <v>4</v>
      </c>
      <c r="B99" t="s">
        <v>67</v>
      </c>
      <c r="C99" t="s">
        <v>57</v>
      </c>
      <c r="D99">
        <v>2025</v>
      </c>
      <c r="E99" t="s">
        <v>60</v>
      </c>
      <c r="F99">
        <v>4968</v>
      </c>
      <c r="G99" t="s">
        <v>143</v>
      </c>
    </row>
    <row r="100" spans="1:7" x14ac:dyDescent="0.35">
      <c r="A100" t="s">
        <v>4</v>
      </c>
      <c r="B100" t="s">
        <v>67</v>
      </c>
      <c r="C100" t="s">
        <v>57</v>
      </c>
      <c r="D100">
        <v>2025</v>
      </c>
      <c r="E100" t="s">
        <v>61</v>
      </c>
      <c r="F100">
        <v>5519</v>
      </c>
      <c r="G100" t="s">
        <v>143</v>
      </c>
    </row>
    <row r="101" spans="1:7" x14ac:dyDescent="0.35">
      <c r="A101" t="s">
        <v>4</v>
      </c>
      <c r="B101" t="s">
        <v>67</v>
      </c>
      <c r="C101" t="s">
        <v>57</v>
      </c>
      <c r="D101">
        <v>2025</v>
      </c>
      <c r="E101" t="s">
        <v>63</v>
      </c>
      <c r="F101">
        <v>4792</v>
      </c>
      <c r="G101" t="s">
        <v>143</v>
      </c>
    </row>
    <row r="102" spans="1:7" x14ac:dyDescent="0.35">
      <c r="A102" t="s">
        <v>4</v>
      </c>
      <c r="B102" t="s">
        <v>67</v>
      </c>
      <c r="C102" t="s">
        <v>57</v>
      </c>
      <c r="D102">
        <v>2025</v>
      </c>
      <c r="E102" t="s">
        <v>144</v>
      </c>
      <c r="F102">
        <v>5069</v>
      </c>
      <c r="G102" t="s">
        <v>143</v>
      </c>
    </row>
    <row r="103" spans="1:7" x14ac:dyDescent="0.35">
      <c r="A103" t="s">
        <v>4</v>
      </c>
      <c r="B103" t="s">
        <v>67</v>
      </c>
      <c r="C103" t="s">
        <v>57</v>
      </c>
      <c r="D103">
        <v>2026</v>
      </c>
      <c r="E103" t="s">
        <v>60</v>
      </c>
      <c r="F103">
        <v>4860.0389999999998</v>
      </c>
      <c r="G103" t="s">
        <v>143</v>
      </c>
    </row>
    <row r="104" spans="1:7" x14ac:dyDescent="0.35">
      <c r="A104" t="s">
        <v>5</v>
      </c>
      <c r="B104" t="s">
        <v>5</v>
      </c>
      <c r="C104" t="s">
        <v>57</v>
      </c>
      <c r="D104">
        <v>2022</v>
      </c>
      <c r="E104" t="s">
        <v>60</v>
      </c>
      <c r="F104">
        <v>4902</v>
      </c>
      <c r="G104" t="s">
        <v>143</v>
      </c>
    </row>
    <row r="105" spans="1:7" x14ac:dyDescent="0.35">
      <c r="A105" t="s">
        <v>5</v>
      </c>
      <c r="B105" t="s">
        <v>5</v>
      </c>
      <c r="C105" t="s">
        <v>57</v>
      </c>
      <c r="D105">
        <v>2022</v>
      </c>
      <c r="E105" t="s">
        <v>61</v>
      </c>
      <c r="F105">
        <v>5559</v>
      </c>
      <c r="G105" t="s">
        <v>143</v>
      </c>
    </row>
    <row r="106" spans="1:7" x14ac:dyDescent="0.35">
      <c r="A106" t="s">
        <v>5</v>
      </c>
      <c r="B106" t="s">
        <v>5</v>
      </c>
      <c r="C106" t="s">
        <v>57</v>
      </c>
      <c r="D106">
        <v>2022</v>
      </c>
      <c r="E106" t="s">
        <v>63</v>
      </c>
      <c r="F106">
        <v>4371</v>
      </c>
      <c r="G106" t="s">
        <v>143</v>
      </c>
    </row>
    <row r="107" spans="1:7" x14ac:dyDescent="0.35">
      <c r="A107" t="s">
        <v>5</v>
      </c>
      <c r="B107" t="s">
        <v>5</v>
      </c>
      <c r="C107" t="s">
        <v>57</v>
      </c>
      <c r="D107">
        <v>2022</v>
      </c>
      <c r="E107" t="s">
        <v>144</v>
      </c>
      <c r="F107">
        <v>5777</v>
      </c>
      <c r="G107" t="s">
        <v>143</v>
      </c>
    </row>
    <row r="108" spans="1:7" x14ac:dyDescent="0.35">
      <c r="A108" t="s">
        <v>5</v>
      </c>
      <c r="B108" t="s">
        <v>5</v>
      </c>
      <c r="C108" t="s">
        <v>57</v>
      </c>
      <c r="D108">
        <v>2023</v>
      </c>
      <c r="E108" t="s">
        <v>60</v>
      </c>
      <c r="F108">
        <v>4822</v>
      </c>
      <c r="G108" t="s">
        <v>143</v>
      </c>
    </row>
    <row r="109" spans="1:7" x14ac:dyDescent="0.35">
      <c r="A109" t="s">
        <v>5</v>
      </c>
      <c r="B109" t="s">
        <v>5</v>
      </c>
      <c r="C109" t="s">
        <v>57</v>
      </c>
      <c r="D109">
        <v>2023</v>
      </c>
      <c r="E109" t="s">
        <v>61</v>
      </c>
      <c r="F109">
        <v>6920</v>
      </c>
      <c r="G109" t="s">
        <v>143</v>
      </c>
    </row>
    <row r="110" spans="1:7" x14ac:dyDescent="0.35">
      <c r="A110" t="s">
        <v>5</v>
      </c>
      <c r="B110" t="s">
        <v>5</v>
      </c>
      <c r="C110" t="s">
        <v>57</v>
      </c>
      <c r="D110">
        <v>2023</v>
      </c>
      <c r="E110" t="s">
        <v>63</v>
      </c>
      <c r="F110">
        <v>5910</v>
      </c>
      <c r="G110" t="s">
        <v>143</v>
      </c>
    </row>
    <row r="111" spans="1:7" x14ac:dyDescent="0.35">
      <c r="A111" t="s">
        <v>5</v>
      </c>
      <c r="B111" t="s">
        <v>5</v>
      </c>
      <c r="C111" t="s">
        <v>57</v>
      </c>
      <c r="D111">
        <v>2023</v>
      </c>
      <c r="E111" t="s">
        <v>144</v>
      </c>
      <c r="F111">
        <v>5143</v>
      </c>
      <c r="G111" t="s">
        <v>143</v>
      </c>
    </row>
    <row r="112" spans="1:7" x14ac:dyDescent="0.35">
      <c r="A112" t="s">
        <v>5</v>
      </c>
      <c r="B112" t="s">
        <v>5</v>
      </c>
      <c r="C112" t="s">
        <v>57</v>
      </c>
      <c r="D112">
        <v>2024</v>
      </c>
      <c r="E112" t="s">
        <v>60</v>
      </c>
      <c r="F112">
        <v>6048</v>
      </c>
      <c r="G112" t="s">
        <v>143</v>
      </c>
    </row>
    <row r="113" spans="1:7" x14ac:dyDescent="0.35">
      <c r="A113" t="s">
        <v>5</v>
      </c>
      <c r="B113" t="s">
        <v>5</v>
      </c>
      <c r="C113" t="s">
        <v>57</v>
      </c>
      <c r="D113">
        <v>2024</v>
      </c>
      <c r="E113" t="s">
        <v>61</v>
      </c>
      <c r="F113">
        <v>6790</v>
      </c>
      <c r="G113" t="s">
        <v>143</v>
      </c>
    </row>
    <row r="114" spans="1:7" x14ac:dyDescent="0.35">
      <c r="A114" t="s">
        <v>5</v>
      </c>
      <c r="B114" t="s">
        <v>5</v>
      </c>
      <c r="C114" t="s">
        <v>57</v>
      </c>
      <c r="D114">
        <v>2024</v>
      </c>
      <c r="E114" t="s">
        <v>63</v>
      </c>
      <c r="F114">
        <v>6752</v>
      </c>
      <c r="G114" t="s">
        <v>143</v>
      </c>
    </row>
    <row r="115" spans="1:7" x14ac:dyDescent="0.35">
      <c r="A115" t="s">
        <v>5</v>
      </c>
      <c r="B115" t="s">
        <v>5</v>
      </c>
      <c r="C115" t="s">
        <v>57</v>
      </c>
      <c r="D115">
        <v>2024</v>
      </c>
      <c r="E115" t="s">
        <v>144</v>
      </c>
      <c r="F115">
        <v>6011</v>
      </c>
      <c r="G115" t="s">
        <v>143</v>
      </c>
    </row>
    <row r="116" spans="1:7" x14ac:dyDescent="0.35">
      <c r="A116" t="s">
        <v>5</v>
      </c>
      <c r="B116" t="s">
        <v>5</v>
      </c>
      <c r="C116" t="s">
        <v>57</v>
      </c>
      <c r="D116">
        <v>2025</v>
      </c>
      <c r="E116" t="s">
        <v>60</v>
      </c>
      <c r="F116">
        <v>6949</v>
      </c>
      <c r="G116" t="s">
        <v>143</v>
      </c>
    </row>
    <row r="117" spans="1:7" x14ac:dyDescent="0.35">
      <c r="A117" t="s">
        <v>5</v>
      </c>
      <c r="B117" t="s">
        <v>5</v>
      </c>
      <c r="C117" t="s">
        <v>57</v>
      </c>
      <c r="D117">
        <v>2025</v>
      </c>
      <c r="E117" t="s">
        <v>61</v>
      </c>
      <c r="F117">
        <v>6963</v>
      </c>
      <c r="G117" t="s">
        <v>143</v>
      </c>
    </row>
    <row r="118" spans="1:7" x14ac:dyDescent="0.35">
      <c r="A118" t="s">
        <v>5</v>
      </c>
      <c r="B118" t="s">
        <v>5</v>
      </c>
      <c r="C118" t="s">
        <v>57</v>
      </c>
      <c r="D118">
        <v>2025</v>
      </c>
      <c r="E118" t="s">
        <v>63</v>
      </c>
      <c r="F118">
        <v>6492</v>
      </c>
      <c r="G118" t="s">
        <v>143</v>
      </c>
    </row>
    <row r="119" spans="1:7" x14ac:dyDescent="0.35">
      <c r="A119" t="s">
        <v>5</v>
      </c>
      <c r="B119" t="s">
        <v>5</v>
      </c>
      <c r="C119" t="s">
        <v>57</v>
      </c>
      <c r="D119">
        <v>2025</v>
      </c>
      <c r="E119" t="s">
        <v>144</v>
      </c>
      <c r="F119">
        <v>6596</v>
      </c>
      <c r="G119" t="s">
        <v>143</v>
      </c>
    </row>
    <row r="120" spans="1:7" x14ac:dyDescent="0.35">
      <c r="A120" t="s">
        <v>5</v>
      </c>
      <c r="B120" t="s">
        <v>5</v>
      </c>
      <c r="C120" t="s">
        <v>57</v>
      </c>
      <c r="D120">
        <v>2026</v>
      </c>
      <c r="E120" t="s">
        <v>60</v>
      </c>
      <c r="F120">
        <v>5724</v>
      </c>
      <c r="G120" t="s">
        <v>143</v>
      </c>
    </row>
    <row r="121" spans="1:7" x14ac:dyDescent="0.35">
      <c r="A121" t="s">
        <v>6</v>
      </c>
      <c r="B121" t="s">
        <v>68</v>
      </c>
      <c r="C121" t="s">
        <v>57</v>
      </c>
      <c r="D121">
        <v>2022</v>
      </c>
      <c r="E121" t="s">
        <v>60</v>
      </c>
      <c r="F121">
        <v>759</v>
      </c>
      <c r="G121" t="s">
        <v>143</v>
      </c>
    </row>
    <row r="122" spans="1:7" x14ac:dyDescent="0.35">
      <c r="A122" t="s">
        <v>6</v>
      </c>
      <c r="B122" t="s">
        <v>68</v>
      </c>
      <c r="C122" t="s">
        <v>57</v>
      </c>
      <c r="D122">
        <v>2022</v>
      </c>
      <c r="E122" t="s">
        <v>61</v>
      </c>
      <c r="F122">
        <v>761</v>
      </c>
      <c r="G122" t="s">
        <v>143</v>
      </c>
    </row>
    <row r="123" spans="1:7" x14ac:dyDescent="0.35">
      <c r="A123" t="s">
        <v>6</v>
      </c>
      <c r="B123" t="s">
        <v>68</v>
      </c>
      <c r="C123" t="s">
        <v>57</v>
      </c>
      <c r="D123">
        <v>2022</v>
      </c>
      <c r="E123" t="s">
        <v>63</v>
      </c>
      <c r="F123">
        <v>745</v>
      </c>
      <c r="G123" t="s">
        <v>143</v>
      </c>
    </row>
    <row r="124" spans="1:7" x14ac:dyDescent="0.35">
      <c r="A124" t="s">
        <v>6</v>
      </c>
      <c r="B124" t="s">
        <v>68</v>
      </c>
      <c r="C124" t="s">
        <v>57</v>
      </c>
      <c r="D124">
        <v>2022</v>
      </c>
      <c r="E124" t="s">
        <v>144</v>
      </c>
      <c r="F124">
        <v>790</v>
      </c>
      <c r="G124" t="s">
        <v>143</v>
      </c>
    </row>
    <row r="125" spans="1:7" x14ac:dyDescent="0.35">
      <c r="A125" t="s">
        <v>6</v>
      </c>
      <c r="B125" t="s">
        <v>68</v>
      </c>
      <c r="C125" t="s">
        <v>57</v>
      </c>
      <c r="D125">
        <v>2023</v>
      </c>
      <c r="E125" t="s">
        <v>60</v>
      </c>
      <c r="F125">
        <v>792</v>
      </c>
      <c r="G125" t="s">
        <v>143</v>
      </c>
    </row>
    <row r="126" spans="1:7" x14ac:dyDescent="0.35">
      <c r="A126" t="s">
        <v>6</v>
      </c>
      <c r="B126" t="s">
        <v>68</v>
      </c>
      <c r="C126" t="s">
        <v>57</v>
      </c>
      <c r="D126">
        <v>2023</v>
      </c>
      <c r="E126" t="s">
        <v>61</v>
      </c>
      <c r="F126">
        <v>902</v>
      </c>
      <c r="G126" t="s">
        <v>143</v>
      </c>
    </row>
    <row r="127" spans="1:7" x14ac:dyDescent="0.35">
      <c r="A127" t="s">
        <v>6</v>
      </c>
      <c r="B127" t="s">
        <v>68</v>
      </c>
      <c r="C127" t="s">
        <v>57</v>
      </c>
      <c r="D127">
        <v>2023</v>
      </c>
      <c r="E127" t="s">
        <v>63</v>
      </c>
      <c r="F127">
        <v>876</v>
      </c>
      <c r="G127" t="s">
        <v>143</v>
      </c>
    </row>
    <row r="128" spans="1:7" x14ac:dyDescent="0.35">
      <c r="A128" t="s">
        <v>6</v>
      </c>
      <c r="B128" t="s">
        <v>68</v>
      </c>
      <c r="C128" t="s">
        <v>57</v>
      </c>
      <c r="D128">
        <v>2023</v>
      </c>
      <c r="E128" t="s">
        <v>144</v>
      </c>
      <c r="F128">
        <v>870</v>
      </c>
      <c r="G128" t="s">
        <v>143</v>
      </c>
    </row>
    <row r="129" spans="1:7" x14ac:dyDescent="0.35">
      <c r="A129" t="s">
        <v>6</v>
      </c>
      <c r="B129" t="s">
        <v>68</v>
      </c>
      <c r="C129" t="s">
        <v>57</v>
      </c>
      <c r="D129">
        <v>2024</v>
      </c>
      <c r="E129" t="s">
        <v>60</v>
      </c>
      <c r="F129">
        <v>910</v>
      </c>
      <c r="G129" t="s">
        <v>143</v>
      </c>
    </row>
    <row r="130" spans="1:7" x14ac:dyDescent="0.35">
      <c r="A130" t="s">
        <v>6</v>
      </c>
      <c r="B130" t="s">
        <v>68</v>
      </c>
      <c r="C130" t="s">
        <v>57</v>
      </c>
      <c r="D130">
        <v>2024</v>
      </c>
      <c r="E130" t="s">
        <v>61</v>
      </c>
      <c r="F130">
        <v>980</v>
      </c>
      <c r="G130" t="s">
        <v>143</v>
      </c>
    </row>
    <row r="131" spans="1:7" x14ac:dyDescent="0.35">
      <c r="A131" t="s">
        <v>6</v>
      </c>
      <c r="B131" t="s">
        <v>68</v>
      </c>
      <c r="C131" t="s">
        <v>57</v>
      </c>
      <c r="D131">
        <v>2024</v>
      </c>
      <c r="E131" t="s">
        <v>63</v>
      </c>
      <c r="F131">
        <v>980</v>
      </c>
      <c r="G131" t="s">
        <v>143</v>
      </c>
    </row>
    <row r="132" spans="1:7" x14ac:dyDescent="0.35">
      <c r="A132" t="s">
        <v>6</v>
      </c>
      <c r="B132" t="s">
        <v>68</v>
      </c>
      <c r="C132" t="s">
        <v>57</v>
      </c>
      <c r="D132">
        <v>2024</v>
      </c>
      <c r="E132" t="s">
        <v>144</v>
      </c>
      <c r="F132">
        <v>920</v>
      </c>
      <c r="G132" t="s">
        <v>143</v>
      </c>
    </row>
    <row r="133" spans="1:7" x14ac:dyDescent="0.35">
      <c r="A133" t="s">
        <v>6</v>
      </c>
      <c r="B133" t="s">
        <v>68</v>
      </c>
      <c r="C133" t="s">
        <v>57</v>
      </c>
      <c r="D133">
        <v>2025</v>
      </c>
      <c r="E133" t="s">
        <v>60</v>
      </c>
      <c r="F133">
        <v>983</v>
      </c>
      <c r="G133" t="s">
        <v>143</v>
      </c>
    </row>
    <row r="134" spans="1:7" x14ac:dyDescent="0.35">
      <c r="A134" t="s">
        <v>6</v>
      </c>
      <c r="B134" t="s">
        <v>68</v>
      </c>
      <c r="C134" t="s">
        <v>57</v>
      </c>
      <c r="D134">
        <v>2025</v>
      </c>
      <c r="E134" t="s">
        <v>61</v>
      </c>
      <c r="F134">
        <v>1007</v>
      </c>
      <c r="G134" t="s">
        <v>143</v>
      </c>
    </row>
    <row r="135" spans="1:7" x14ac:dyDescent="0.35">
      <c r="A135" t="s">
        <v>6</v>
      </c>
      <c r="B135" t="s">
        <v>68</v>
      </c>
      <c r="C135" t="s">
        <v>57</v>
      </c>
      <c r="D135">
        <v>2025</v>
      </c>
      <c r="E135" t="s">
        <v>63</v>
      </c>
      <c r="F135">
        <v>960</v>
      </c>
      <c r="G135" t="s">
        <v>143</v>
      </c>
    </row>
    <row r="136" spans="1:7" x14ac:dyDescent="0.35">
      <c r="A136" t="s">
        <v>6</v>
      </c>
      <c r="B136" t="s">
        <v>68</v>
      </c>
      <c r="C136" t="s">
        <v>57</v>
      </c>
      <c r="D136">
        <v>2025</v>
      </c>
      <c r="E136" t="s">
        <v>144</v>
      </c>
      <c r="F136">
        <v>990</v>
      </c>
      <c r="G136" t="s">
        <v>143</v>
      </c>
    </row>
    <row r="137" spans="1:7" x14ac:dyDescent="0.35">
      <c r="A137" t="s">
        <v>6</v>
      </c>
      <c r="B137" t="s">
        <v>68</v>
      </c>
      <c r="C137" t="s">
        <v>57</v>
      </c>
      <c r="D137">
        <v>2026</v>
      </c>
      <c r="E137" t="s">
        <v>60</v>
      </c>
      <c r="F137">
        <v>961</v>
      </c>
      <c r="G137" t="s">
        <v>143</v>
      </c>
    </row>
    <row r="138" spans="1:7" x14ac:dyDescent="0.35">
      <c r="A138" t="s">
        <v>7</v>
      </c>
      <c r="B138" t="s">
        <v>7</v>
      </c>
      <c r="C138" t="s">
        <v>57</v>
      </c>
      <c r="D138">
        <v>2022</v>
      </c>
      <c r="E138" t="s">
        <v>60</v>
      </c>
      <c r="F138">
        <v>648</v>
      </c>
      <c r="G138" t="s">
        <v>143</v>
      </c>
    </row>
    <row r="139" spans="1:7" x14ac:dyDescent="0.35">
      <c r="A139" t="s">
        <v>7</v>
      </c>
      <c r="B139" t="s">
        <v>7</v>
      </c>
      <c r="C139" t="s">
        <v>57</v>
      </c>
      <c r="D139">
        <v>2022</v>
      </c>
      <c r="E139" t="s">
        <v>61</v>
      </c>
      <c r="F139">
        <v>637</v>
      </c>
      <c r="G139" t="s">
        <v>143</v>
      </c>
    </row>
    <row r="140" spans="1:7" x14ac:dyDescent="0.35">
      <c r="A140" t="s">
        <v>7</v>
      </c>
      <c r="B140" t="s">
        <v>7</v>
      </c>
      <c r="C140" t="s">
        <v>57</v>
      </c>
      <c r="D140">
        <v>2022</v>
      </c>
      <c r="E140" t="s">
        <v>63</v>
      </c>
      <c r="F140">
        <v>640</v>
      </c>
      <c r="G140" t="s">
        <v>143</v>
      </c>
    </row>
    <row r="141" spans="1:7" x14ac:dyDescent="0.35">
      <c r="A141" t="s">
        <v>7</v>
      </c>
      <c r="B141" t="s">
        <v>7</v>
      </c>
      <c r="C141" t="s">
        <v>57</v>
      </c>
      <c r="D141">
        <v>2022</v>
      </c>
      <c r="E141" t="s">
        <v>144</v>
      </c>
      <c r="F141">
        <v>644</v>
      </c>
      <c r="G141" t="s">
        <v>143</v>
      </c>
    </row>
    <row r="142" spans="1:7" x14ac:dyDescent="0.35">
      <c r="A142" t="s">
        <v>7</v>
      </c>
      <c r="B142" t="s">
        <v>7</v>
      </c>
      <c r="C142" t="s">
        <v>57</v>
      </c>
      <c r="D142">
        <v>2023</v>
      </c>
      <c r="E142" t="s">
        <v>60</v>
      </c>
      <c r="F142">
        <v>719</v>
      </c>
      <c r="G142" t="s">
        <v>143</v>
      </c>
    </row>
    <row r="143" spans="1:7" x14ac:dyDescent="0.35">
      <c r="A143" t="s">
        <v>7</v>
      </c>
      <c r="B143" t="s">
        <v>7</v>
      </c>
      <c r="C143" t="s">
        <v>57</v>
      </c>
      <c r="D143">
        <v>2023</v>
      </c>
      <c r="E143" t="s">
        <v>61</v>
      </c>
      <c r="F143">
        <v>707</v>
      </c>
      <c r="G143" t="s">
        <v>143</v>
      </c>
    </row>
    <row r="144" spans="1:7" x14ac:dyDescent="0.35">
      <c r="A144" t="s">
        <v>7</v>
      </c>
      <c r="B144" t="s">
        <v>7</v>
      </c>
      <c r="C144" t="s">
        <v>57</v>
      </c>
      <c r="D144">
        <v>2023</v>
      </c>
      <c r="E144" t="s">
        <v>63</v>
      </c>
      <c r="F144">
        <v>770</v>
      </c>
      <c r="G144" t="s">
        <v>143</v>
      </c>
    </row>
    <row r="145" spans="1:7" x14ac:dyDescent="0.35">
      <c r="A145" t="s">
        <v>7</v>
      </c>
      <c r="B145" t="s">
        <v>7</v>
      </c>
      <c r="C145" t="s">
        <v>57</v>
      </c>
      <c r="D145">
        <v>2023</v>
      </c>
      <c r="E145" t="s">
        <v>144</v>
      </c>
      <c r="F145">
        <v>704</v>
      </c>
      <c r="G145" t="s">
        <v>143</v>
      </c>
    </row>
    <row r="146" spans="1:7" x14ac:dyDescent="0.35">
      <c r="A146" t="s">
        <v>7</v>
      </c>
      <c r="B146" t="s">
        <v>7</v>
      </c>
      <c r="C146" t="s">
        <v>57</v>
      </c>
      <c r="D146">
        <v>2024</v>
      </c>
      <c r="E146" t="s">
        <v>60</v>
      </c>
      <c r="F146">
        <v>791</v>
      </c>
      <c r="G146" t="s">
        <v>143</v>
      </c>
    </row>
    <row r="147" spans="1:7" x14ac:dyDescent="0.35">
      <c r="A147" t="s">
        <v>7</v>
      </c>
      <c r="B147" t="s">
        <v>7</v>
      </c>
      <c r="C147" t="s">
        <v>57</v>
      </c>
      <c r="D147">
        <v>2024</v>
      </c>
      <c r="E147" t="s">
        <v>61</v>
      </c>
      <c r="F147">
        <v>815</v>
      </c>
      <c r="G147" t="s">
        <v>143</v>
      </c>
    </row>
    <row r="148" spans="1:7" x14ac:dyDescent="0.35">
      <c r="A148" t="s">
        <v>7</v>
      </c>
      <c r="B148" t="s">
        <v>7</v>
      </c>
      <c r="C148" t="s">
        <v>57</v>
      </c>
      <c r="D148">
        <v>2024</v>
      </c>
      <c r="E148" t="s">
        <v>63</v>
      </c>
      <c r="F148">
        <v>833</v>
      </c>
      <c r="G148" t="s">
        <v>143</v>
      </c>
    </row>
    <row r="149" spans="1:7" x14ac:dyDescent="0.35">
      <c r="A149" t="s">
        <v>7</v>
      </c>
      <c r="B149" t="s">
        <v>7</v>
      </c>
      <c r="C149" t="s">
        <v>57</v>
      </c>
      <c r="D149">
        <v>2024</v>
      </c>
      <c r="E149" t="s">
        <v>144</v>
      </c>
      <c r="F149">
        <v>861</v>
      </c>
      <c r="G149" t="s">
        <v>143</v>
      </c>
    </row>
    <row r="150" spans="1:7" x14ac:dyDescent="0.35">
      <c r="A150" t="s">
        <v>7</v>
      </c>
      <c r="B150" t="s">
        <v>7</v>
      </c>
      <c r="C150" t="s">
        <v>57</v>
      </c>
      <c r="D150">
        <v>2025</v>
      </c>
      <c r="E150" t="s">
        <v>60</v>
      </c>
      <c r="F150">
        <v>890</v>
      </c>
      <c r="G150" t="s">
        <v>143</v>
      </c>
    </row>
    <row r="151" spans="1:7" x14ac:dyDescent="0.35">
      <c r="A151" t="s">
        <v>7</v>
      </c>
      <c r="B151" t="s">
        <v>7</v>
      </c>
      <c r="C151" t="s">
        <v>57</v>
      </c>
      <c r="D151">
        <v>2025</v>
      </c>
      <c r="E151" t="s">
        <v>61</v>
      </c>
      <c r="F151">
        <v>885</v>
      </c>
      <c r="G151" t="s">
        <v>143</v>
      </c>
    </row>
    <row r="152" spans="1:7" x14ac:dyDescent="0.35">
      <c r="A152" t="s">
        <v>7</v>
      </c>
      <c r="B152" t="s">
        <v>7</v>
      </c>
      <c r="C152" t="s">
        <v>57</v>
      </c>
      <c r="D152">
        <v>2025</v>
      </c>
      <c r="E152" t="s">
        <v>63</v>
      </c>
      <c r="F152">
        <v>903</v>
      </c>
      <c r="G152" t="s">
        <v>143</v>
      </c>
    </row>
    <row r="153" spans="1:7" x14ac:dyDescent="0.35">
      <c r="A153" t="s">
        <v>7</v>
      </c>
      <c r="B153" t="s">
        <v>7</v>
      </c>
      <c r="C153" t="s">
        <v>57</v>
      </c>
      <c r="D153">
        <v>2025</v>
      </c>
      <c r="E153" t="s">
        <v>144</v>
      </c>
      <c r="F153">
        <v>790</v>
      </c>
      <c r="G153" t="s">
        <v>143</v>
      </c>
    </row>
    <row r="154" spans="1:7" x14ac:dyDescent="0.35">
      <c r="A154" t="s">
        <v>7</v>
      </c>
      <c r="B154" t="s">
        <v>7</v>
      </c>
      <c r="C154" t="s">
        <v>57</v>
      </c>
      <c r="D154">
        <v>2026</v>
      </c>
      <c r="E154" t="s">
        <v>60</v>
      </c>
      <c r="F154">
        <v>928</v>
      </c>
      <c r="G154" t="s">
        <v>143</v>
      </c>
    </row>
    <row r="155" spans="1:7" x14ac:dyDescent="0.35">
      <c r="A155" t="s">
        <v>8</v>
      </c>
      <c r="B155" t="s">
        <v>69</v>
      </c>
      <c r="C155" t="s">
        <v>57</v>
      </c>
      <c r="D155">
        <v>2022</v>
      </c>
      <c r="E155" t="s">
        <v>60</v>
      </c>
      <c r="F155">
        <v>116</v>
      </c>
      <c r="G155" t="s">
        <v>143</v>
      </c>
    </row>
    <row r="156" spans="1:7" x14ac:dyDescent="0.35">
      <c r="A156" t="s">
        <v>8</v>
      </c>
      <c r="B156" t="s">
        <v>69</v>
      </c>
      <c r="C156" t="s">
        <v>57</v>
      </c>
      <c r="D156">
        <v>2022</v>
      </c>
      <c r="E156" t="s">
        <v>61</v>
      </c>
      <c r="F156">
        <v>113</v>
      </c>
      <c r="G156" t="s">
        <v>143</v>
      </c>
    </row>
    <row r="157" spans="1:7" x14ac:dyDescent="0.35">
      <c r="A157" t="s">
        <v>8</v>
      </c>
      <c r="B157" t="s">
        <v>69</v>
      </c>
      <c r="C157" t="s">
        <v>57</v>
      </c>
      <c r="D157">
        <v>2022</v>
      </c>
      <c r="E157" t="s">
        <v>63</v>
      </c>
      <c r="F157">
        <v>127</v>
      </c>
      <c r="G157" t="s">
        <v>143</v>
      </c>
    </row>
    <row r="158" spans="1:7" x14ac:dyDescent="0.35">
      <c r="A158" t="s">
        <v>8</v>
      </c>
      <c r="B158" t="s">
        <v>69</v>
      </c>
      <c r="C158" t="s">
        <v>57</v>
      </c>
      <c r="D158">
        <v>2022</v>
      </c>
      <c r="E158" t="s">
        <v>144</v>
      </c>
      <c r="F158">
        <v>144</v>
      </c>
      <c r="G158" t="s">
        <v>143</v>
      </c>
    </row>
    <row r="159" spans="1:7" x14ac:dyDescent="0.35">
      <c r="A159" t="s">
        <v>8</v>
      </c>
      <c r="B159" t="s">
        <v>69</v>
      </c>
      <c r="C159" t="s">
        <v>57</v>
      </c>
      <c r="D159">
        <v>2023</v>
      </c>
      <c r="E159" t="s">
        <v>60</v>
      </c>
      <c r="F159">
        <v>144</v>
      </c>
      <c r="G159" t="s">
        <v>143</v>
      </c>
    </row>
    <row r="160" spans="1:7" x14ac:dyDescent="0.35">
      <c r="A160" t="s">
        <v>8</v>
      </c>
      <c r="B160" t="s">
        <v>69</v>
      </c>
      <c r="C160" t="s">
        <v>57</v>
      </c>
      <c r="D160">
        <v>2023</v>
      </c>
      <c r="E160" t="s">
        <v>61</v>
      </c>
      <c r="F160">
        <v>165</v>
      </c>
      <c r="G160" t="s">
        <v>143</v>
      </c>
    </row>
    <row r="161" spans="1:7" x14ac:dyDescent="0.35">
      <c r="A161" t="s">
        <v>8</v>
      </c>
      <c r="B161" t="s">
        <v>69</v>
      </c>
      <c r="C161" t="s">
        <v>57</v>
      </c>
      <c r="D161">
        <v>2023</v>
      </c>
      <c r="E161" t="s">
        <v>63</v>
      </c>
      <c r="F161">
        <v>189</v>
      </c>
      <c r="G161" t="s">
        <v>143</v>
      </c>
    </row>
    <row r="162" spans="1:7" x14ac:dyDescent="0.35">
      <c r="A162" t="s">
        <v>8</v>
      </c>
      <c r="B162" t="s">
        <v>69</v>
      </c>
      <c r="C162" t="s">
        <v>57</v>
      </c>
      <c r="D162">
        <v>2023</v>
      </c>
      <c r="E162" t="s">
        <v>144</v>
      </c>
      <c r="F162">
        <v>159</v>
      </c>
      <c r="G162" t="s">
        <v>143</v>
      </c>
    </row>
    <row r="163" spans="1:7" x14ac:dyDescent="0.35">
      <c r="A163" t="s">
        <v>8</v>
      </c>
      <c r="B163" t="s">
        <v>69</v>
      </c>
      <c r="C163" t="s">
        <v>57</v>
      </c>
      <c r="D163">
        <v>2024</v>
      </c>
      <c r="E163" t="s">
        <v>60</v>
      </c>
      <c r="F163">
        <v>208</v>
      </c>
      <c r="G163" t="s">
        <v>143</v>
      </c>
    </row>
    <row r="164" spans="1:7" x14ac:dyDescent="0.35">
      <c r="A164" t="s">
        <v>8</v>
      </c>
      <c r="B164" t="s">
        <v>69</v>
      </c>
      <c r="C164" t="s">
        <v>57</v>
      </c>
      <c r="D164">
        <v>2024</v>
      </c>
      <c r="E164" t="s">
        <v>61</v>
      </c>
      <c r="F164">
        <v>216</v>
      </c>
      <c r="G164" t="s">
        <v>143</v>
      </c>
    </row>
    <row r="165" spans="1:7" x14ac:dyDescent="0.35">
      <c r="A165" t="s">
        <v>8</v>
      </c>
      <c r="B165" t="s">
        <v>69</v>
      </c>
      <c r="C165" t="s">
        <v>57</v>
      </c>
      <c r="D165">
        <v>2024</v>
      </c>
      <c r="E165" t="s">
        <v>63</v>
      </c>
      <c r="F165">
        <v>254</v>
      </c>
      <c r="G165" t="s">
        <v>143</v>
      </c>
    </row>
    <row r="166" spans="1:7" x14ac:dyDescent="0.35">
      <c r="A166" t="s">
        <v>8</v>
      </c>
      <c r="B166" t="s">
        <v>69</v>
      </c>
      <c r="C166" t="s">
        <v>57</v>
      </c>
      <c r="D166">
        <v>2024</v>
      </c>
      <c r="E166" t="s">
        <v>144</v>
      </c>
      <c r="F166">
        <v>263</v>
      </c>
      <c r="G166" t="s">
        <v>143</v>
      </c>
    </row>
    <row r="167" spans="1:7" x14ac:dyDescent="0.35">
      <c r="A167" t="s">
        <v>8</v>
      </c>
      <c r="B167" t="s">
        <v>69</v>
      </c>
      <c r="C167" t="s">
        <v>57</v>
      </c>
      <c r="D167">
        <v>2025</v>
      </c>
      <c r="E167" t="s">
        <v>60</v>
      </c>
      <c r="F167">
        <v>303</v>
      </c>
      <c r="G167" t="s">
        <v>143</v>
      </c>
    </row>
    <row r="168" spans="1:7" x14ac:dyDescent="0.35">
      <c r="A168" t="s">
        <v>8</v>
      </c>
      <c r="B168" t="s">
        <v>69</v>
      </c>
      <c r="C168" t="s">
        <v>57</v>
      </c>
      <c r="D168">
        <v>2025</v>
      </c>
      <c r="E168" t="s">
        <v>61</v>
      </c>
      <c r="F168">
        <v>297</v>
      </c>
      <c r="G168" t="s">
        <v>143</v>
      </c>
    </row>
    <row r="169" spans="1:7" x14ac:dyDescent="0.35">
      <c r="A169" t="s">
        <v>8</v>
      </c>
      <c r="B169" t="s">
        <v>69</v>
      </c>
      <c r="C169" t="s">
        <v>57</v>
      </c>
      <c r="D169">
        <v>2025</v>
      </c>
      <c r="E169" t="s">
        <v>63</v>
      </c>
      <c r="F169">
        <v>309</v>
      </c>
      <c r="G169" t="s">
        <v>143</v>
      </c>
    </row>
    <row r="170" spans="1:7" x14ac:dyDescent="0.35">
      <c r="A170" t="s">
        <v>8</v>
      </c>
      <c r="B170" t="s">
        <v>69</v>
      </c>
      <c r="C170" t="s">
        <v>57</v>
      </c>
      <c r="D170">
        <v>2025</v>
      </c>
      <c r="E170" t="s">
        <v>144</v>
      </c>
      <c r="F170">
        <v>338</v>
      </c>
      <c r="G170" t="s">
        <v>143</v>
      </c>
    </row>
    <row r="171" spans="1:7" x14ac:dyDescent="0.35">
      <c r="A171" t="s">
        <v>8</v>
      </c>
      <c r="B171" t="s">
        <v>69</v>
      </c>
      <c r="C171" t="s">
        <v>57</v>
      </c>
      <c r="D171">
        <v>2026</v>
      </c>
      <c r="E171" t="s">
        <v>60</v>
      </c>
      <c r="F171">
        <v>310</v>
      </c>
      <c r="G171" t="s">
        <v>143</v>
      </c>
    </row>
    <row r="172" spans="1:7" x14ac:dyDescent="0.35">
      <c r="A172" t="s">
        <v>9</v>
      </c>
      <c r="B172" t="s">
        <v>70</v>
      </c>
      <c r="C172" t="s">
        <v>57</v>
      </c>
      <c r="D172">
        <v>2022</v>
      </c>
      <c r="E172" t="s">
        <v>60</v>
      </c>
      <c r="F172">
        <v>812</v>
      </c>
      <c r="G172" t="s">
        <v>143</v>
      </c>
    </row>
    <row r="173" spans="1:7" x14ac:dyDescent="0.35">
      <c r="A173" t="s">
        <v>9</v>
      </c>
      <c r="B173" t="s">
        <v>70</v>
      </c>
      <c r="C173" t="s">
        <v>57</v>
      </c>
      <c r="D173">
        <v>2022</v>
      </c>
      <c r="E173" t="s">
        <v>61</v>
      </c>
      <c r="F173">
        <v>812</v>
      </c>
      <c r="G173" t="s">
        <v>143</v>
      </c>
    </row>
    <row r="174" spans="1:7" x14ac:dyDescent="0.35">
      <c r="A174" t="s">
        <v>9</v>
      </c>
      <c r="B174" t="s">
        <v>70</v>
      </c>
      <c r="C174" t="s">
        <v>57</v>
      </c>
      <c r="D174">
        <v>2022</v>
      </c>
      <c r="E174" t="s">
        <v>63</v>
      </c>
      <c r="F174">
        <v>885</v>
      </c>
      <c r="G174" t="s">
        <v>143</v>
      </c>
    </row>
    <row r="175" spans="1:7" x14ac:dyDescent="0.35">
      <c r="A175" t="s">
        <v>9</v>
      </c>
      <c r="B175" t="s">
        <v>70</v>
      </c>
      <c r="C175" t="s">
        <v>57</v>
      </c>
      <c r="D175">
        <v>2022</v>
      </c>
      <c r="E175" t="s">
        <v>144</v>
      </c>
      <c r="F175">
        <v>1008</v>
      </c>
      <c r="G175" t="s">
        <v>143</v>
      </c>
    </row>
    <row r="176" spans="1:7" x14ac:dyDescent="0.35">
      <c r="A176" t="s">
        <v>9</v>
      </c>
      <c r="B176" t="s">
        <v>70</v>
      </c>
      <c r="C176" t="s">
        <v>57</v>
      </c>
      <c r="D176">
        <v>2023</v>
      </c>
      <c r="E176" t="s">
        <v>60</v>
      </c>
      <c r="F176">
        <v>968</v>
      </c>
      <c r="G176" t="s">
        <v>143</v>
      </c>
    </row>
    <row r="177" spans="1:7" x14ac:dyDescent="0.35">
      <c r="A177" t="s">
        <v>9</v>
      </c>
      <c r="B177" t="s">
        <v>70</v>
      </c>
      <c r="C177" t="s">
        <v>57</v>
      </c>
      <c r="D177">
        <v>2023</v>
      </c>
      <c r="E177" t="s">
        <v>61</v>
      </c>
      <c r="F177">
        <v>1250</v>
      </c>
      <c r="G177" t="s">
        <v>143</v>
      </c>
    </row>
    <row r="178" spans="1:7" x14ac:dyDescent="0.35">
      <c r="A178" t="s">
        <v>9</v>
      </c>
      <c r="B178" t="s">
        <v>70</v>
      </c>
      <c r="C178" t="s">
        <v>57</v>
      </c>
      <c r="D178">
        <v>2023</v>
      </c>
      <c r="E178" t="s">
        <v>63</v>
      </c>
      <c r="F178">
        <v>1108</v>
      </c>
      <c r="G178" t="s">
        <v>143</v>
      </c>
    </row>
    <row r="179" spans="1:7" x14ac:dyDescent="0.35">
      <c r="A179" t="s">
        <v>9</v>
      </c>
      <c r="B179" t="s">
        <v>70</v>
      </c>
      <c r="C179" t="s">
        <v>57</v>
      </c>
      <c r="D179">
        <v>2023</v>
      </c>
      <c r="E179" t="s">
        <v>144</v>
      </c>
      <c r="F179">
        <v>1141</v>
      </c>
      <c r="G179" t="s">
        <v>143</v>
      </c>
    </row>
    <row r="180" spans="1:7" x14ac:dyDescent="0.35">
      <c r="A180" t="s">
        <v>9</v>
      </c>
      <c r="B180" t="s">
        <v>70</v>
      </c>
      <c r="C180" t="s">
        <v>57</v>
      </c>
      <c r="D180">
        <v>2024</v>
      </c>
      <c r="E180" t="s">
        <v>60</v>
      </c>
      <c r="F180">
        <v>1123</v>
      </c>
      <c r="G180" t="s">
        <v>143</v>
      </c>
    </row>
    <row r="181" spans="1:7" x14ac:dyDescent="0.35">
      <c r="A181" t="s">
        <v>9</v>
      </c>
      <c r="B181" t="s">
        <v>70</v>
      </c>
      <c r="C181" t="s">
        <v>57</v>
      </c>
      <c r="D181">
        <v>2024</v>
      </c>
      <c r="E181" t="s">
        <v>61</v>
      </c>
      <c r="F181">
        <v>1210</v>
      </c>
      <c r="G181" t="s">
        <v>143</v>
      </c>
    </row>
    <row r="182" spans="1:7" x14ac:dyDescent="0.35">
      <c r="A182" t="s">
        <v>9</v>
      </c>
      <c r="B182" t="s">
        <v>70</v>
      </c>
      <c r="C182" t="s">
        <v>57</v>
      </c>
      <c r="D182">
        <v>2024</v>
      </c>
      <c r="E182" t="s">
        <v>63</v>
      </c>
      <c r="F182">
        <v>1203</v>
      </c>
      <c r="G182" t="s">
        <v>143</v>
      </c>
    </row>
    <row r="183" spans="1:7" x14ac:dyDescent="0.35">
      <c r="A183" t="s">
        <v>9</v>
      </c>
      <c r="B183" t="s">
        <v>70</v>
      </c>
      <c r="C183" t="s">
        <v>57</v>
      </c>
      <c r="D183">
        <v>2024</v>
      </c>
      <c r="E183" t="s">
        <v>144</v>
      </c>
      <c r="F183">
        <v>1203</v>
      </c>
      <c r="G183" t="s">
        <v>143</v>
      </c>
    </row>
    <row r="184" spans="1:7" x14ac:dyDescent="0.35">
      <c r="A184" t="s">
        <v>9</v>
      </c>
      <c r="B184" t="s">
        <v>70</v>
      </c>
      <c r="C184" t="s">
        <v>57</v>
      </c>
      <c r="D184">
        <v>2025</v>
      </c>
      <c r="E184" t="s">
        <v>60</v>
      </c>
      <c r="F184">
        <v>1300</v>
      </c>
      <c r="G184" t="s">
        <v>143</v>
      </c>
    </row>
    <row r="185" spans="1:7" x14ac:dyDescent="0.35">
      <c r="A185" t="s">
        <v>9</v>
      </c>
      <c r="B185" t="s">
        <v>70</v>
      </c>
      <c r="C185" t="s">
        <v>57</v>
      </c>
      <c r="D185">
        <v>2025</v>
      </c>
      <c r="E185" t="s">
        <v>61</v>
      </c>
      <c r="F185">
        <v>1448</v>
      </c>
      <c r="G185" t="s">
        <v>143</v>
      </c>
    </row>
    <row r="186" spans="1:7" x14ac:dyDescent="0.35">
      <c r="A186" t="s">
        <v>9</v>
      </c>
      <c r="B186" t="s">
        <v>70</v>
      </c>
      <c r="C186" t="s">
        <v>57</v>
      </c>
      <c r="D186">
        <v>2025</v>
      </c>
      <c r="E186" t="s">
        <v>63</v>
      </c>
      <c r="F186">
        <v>1293</v>
      </c>
      <c r="G186" t="s">
        <v>143</v>
      </c>
    </row>
    <row r="187" spans="1:7" x14ac:dyDescent="0.35">
      <c r="A187" t="s">
        <v>9</v>
      </c>
      <c r="B187" t="s">
        <v>70</v>
      </c>
      <c r="C187" t="s">
        <v>57</v>
      </c>
      <c r="D187">
        <v>2025</v>
      </c>
      <c r="E187" t="s">
        <v>144</v>
      </c>
      <c r="F187">
        <v>1382</v>
      </c>
      <c r="G187" t="s">
        <v>143</v>
      </c>
    </row>
    <row r="188" spans="1:7" x14ac:dyDescent="0.35">
      <c r="A188" t="s">
        <v>9</v>
      </c>
      <c r="B188" t="s">
        <v>70</v>
      </c>
      <c r="C188" t="s">
        <v>57</v>
      </c>
      <c r="D188">
        <v>2026</v>
      </c>
      <c r="E188" t="s">
        <v>60</v>
      </c>
      <c r="F188">
        <v>1269.4000000000001</v>
      </c>
      <c r="G188" t="s">
        <v>143</v>
      </c>
    </row>
    <row r="189" spans="1:7" x14ac:dyDescent="0.35">
      <c r="A189" t="s">
        <v>10</v>
      </c>
      <c r="B189" t="s">
        <v>71</v>
      </c>
      <c r="C189" t="s">
        <v>57</v>
      </c>
      <c r="D189">
        <v>2022</v>
      </c>
      <c r="E189" t="s">
        <v>60</v>
      </c>
      <c r="F189">
        <v>142</v>
      </c>
      <c r="G189" t="s">
        <v>143</v>
      </c>
    </row>
    <row r="190" spans="1:7" x14ac:dyDescent="0.35">
      <c r="A190" t="s">
        <v>10</v>
      </c>
      <c r="B190" t="s">
        <v>71</v>
      </c>
      <c r="C190" t="s">
        <v>57</v>
      </c>
      <c r="D190">
        <v>2022</v>
      </c>
      <c r="E190" t="s">
        <v>61</v>
      </c>
      <c r="F190">
        <v>165</v>
      </c>
      <c r="G190" t="s">
        <v>143</v>
      </c>
    </row>
    <row r="191" spans="1:7" x14ac:dyDescent="0.35">
      <c r="A191" t="s">
        <v>10</v>
      </c>
      <c r="B191" t="s">
        <v>71</v>
      </c>
      <c r="C191" t="s">
        <v>57</v>
      </c>
      <c r="D191">
        <v>2022</v>
      </c>
      <c r="E191" t="s">
        <v>63</v>
      </c>
      <c r="F191">
        <v>134</v>
      </c>
      <c r="G191" t="s">
        <v>143</v>
      </c>
    </row>
    <row r="192" spans="1:7" x14ac:dyDescent="0.35">
      <c r="A192" t="s">
        <v>10</v>
      </c>
      <c r="B192" t="s">
        <v>71</v>
      </c>
      <c r="C192" t="s">
        <v>57</v>
      </c>
      <c r="D192">
        <v>2022</v>
      </c>
      <c r="E192" t="s">
        <v>144</v>
      </c>
      <c r="F192">
        <v>140</v>
      </c>
      <c r="G192" t="s">
        <v>143</v>
      </c>
    </row>
    <row r="193" spans="1:7" x14ac:dyDescent="0.35">
      <c r="A193" t="s">
        <v>10</v>
      </c>
      <c r="B193" t="s">
        <v>71</v>
      </c>
      <c r="C193" t="s">
        <v>57</v>
      </c>
      <c r="D193">
        <v>2023</v>
      </c>
      <c r="E193" t="s">
        <v>60</v>
      </c>
      <c r="F193">
        <v>132</v>
      </c>
      <c r="G193" t="s">
        <v>143</v>
      </c>
    </row>
    <row r="194" spans="1:7" x14ac:dyDescent="0.35">
      <c r="A194" t="s">
        <v>10</v>
      </c>
      <c r="B194" t="s">
        <v>71</v>
      </c>
      <c r="C194" t="s">
        <v>57</v>
      </c>
      <c r="D194">
        <v>2023</v>
      </c>
      <c r="E194" t="s">
        <v>61</v>
      </c>
      <c r="F194">
        <v>161</v>
      </c>
      <c r="G194" t="s">
        <v>143</v>
      </c>
    </row>
    <row r="195" spans="1:7" x14ac:dyDescent="0.35">
      <c r="A195" t="s">
        <v>10</v>
      </c>
      <c r="B195" t="s">
        <v>71</v>
      </c>
      <c r="C195" t="s">
        <v>57</v>
      </c>
      <c r="D195">
        <v>2023</v>
      </c>
      <c r="E195" t="s">
        <v>63</v>
      </c>
      <c r="F195">
        <v>124</v>
      </c>
      <c r="G195" t="s">
        <v>143</v>
      </c>
    </row>
    <row r="196" spans="1:7" x14ac:dyDescent="0.35">
      <c r="A196" t="s">
        <v>10</v>
      </c>
      <c r="B196" t="s">
        <v>71</v>
      </c>
      <c r="C196" t="s">
        <v>57</v>
      </c>
      <c r="D196">
        <v>2023</v>
      </c>
      <c r="E196" t="s">
        <v>144</v>
      </c>
      <c r="F196">
        <v>130</v>
      </c>
      <c r="G196" t="s">
        <v>143</v>
      </c>
    </row>
    <row r="197" spans="1:7" x14ac:dyDescent="0.35">
      <c r="A197" t="s">
        <v>10</v>
      </c>
      <c r="B197" t="s">
        <v>71</v>
      </c>
      <c r="C197" t="s">
        <v>57</v>
      </c>
      <c r="D197">
        <v>2024</v>
      </c>
      <c r="E197" t="s">
        <v>60</v>
      </c>
      <c r="F197">
        <v>130</v>
      </c>
      <c r="G197" t="s">
        <v>143</v>
      </c>
    </row>
    <row r="198" spans="1:7" x14ac:dyDescent="0.35">
      <c r="A198" t="s">
        <v>10</v>
      </c>
      <c r="B198" t="s">
        <v>71</v>
      </c>
      <c r="C198" t="s">
        <v>57</v>
      </c>
      <c r="D198">
        <v>2024</v>
      </c>
      <c r="E198" t="s">
        <v>61</v>
      </c>
      <c r="F198">
        <v>152</v>
      </c>
      <c r="G198" t="s">
        <v>143</v>
      </c>
    </row>
    <row r="199" spans="1:7" x14ac:dyDescent="0.35">
      <c r="A199" t="s">
        <v>10</v>
      </c>
      <c r="B199" t="s">
        <v>71</v>
      </c>
      <c r="C199" t="s">
        <v>57</v>
      </c>
      <c r="D199">
        <v>2024</v>
      </c>
      <c r="E199" t="s">
        <v>63</v>
      </c>
      <c r="F199">
        <v>132</v>
      </c>
      <c r="G199" t="s">
        <v>143</v>
      </c>
    </row>
    <row r="200" spans="1:7" x14ac:dyDescent="0.35">
      <c r="A200" t="s">
        <v>10</v>
      </c>
      <c r="B200" t="s">
        <v>71</v>
      </c>
      <c r="C200" t="s">
        <v>57</v>
      </c>
      <c r="D200">
        <v>2024</v>
      </c>
      <c r="E200" t="s">
        <v>144</v>
      </c>
      <c r="F200">
        <v>129</v>
      </c>
      <c r="G200" t="s">
        <v>143</v>
      </c>
    </row>
    <row r="201" spans="1:7" x14ac:dyDescent="0.35">
      <c r="A201" t="s">
        <v>10</v>
      </c>
      <c r="B201" t="s">
        <v>71</v>
      </c>
      <c r="C201" t="s">
        <v>57</v>
      </c>
      <c r="D201">
        <v>2025</v>
      </c>
      <c r="E201" t="s">
        <v>60</v>
      </c>
      <c r="F201">
        <v>140</v>
      </c>
      <c r="G201" t="s">
        <v>143</v>
      </c>
    </row>
    <row r="202" spans="1:7" x14ac:dyDescent="0.35">
      <c r="A202" t="s">
        <v>10</v>
      </c>
      <c r="B202" t="s">
        <v>71</v>
      </c>
      <c r="C202" t="s">
        <v>57</v>
      </c>
      <c r="D202">
        <v>2025</v>
      </c>
      <c r="E202" t="s">
        <v>61</v>
      </c>
      <c r="F202">
        <v>166</v>
      </c>
      <c r="G202" t="s">
        <v>143</v>
      </c>
    </row>
    <row r="203" spans="1:7" x14ac:dyDescent="0.35">
      <c r="A203" t="s">
        <v>10</v>
      </c>
      <c r="B203" t="s">
        <v>71</v>
      </c>
      <c r="C203" t="s">
        <v>57</v>
      </c>
      <c r="D203">
        <v>2025</v>
      </c>
      <c r="E203" t="s">
        <v>63</v>
      </c>
      <c r="F203">
        <v>140</v>
      </c>
      <c r="G203" t="s">
        <v>143</v>
      </c>
    </row>
    <row r="204" spans="1:7" x14ac:dyDescent="0.35">
      <c r="A204" t="s">
        <v>10</v>
      </c>
      <c r="B204" t="s">
        <v>71</v>
      </c>
      <c r="C204" t="s">
        <v>57</v>
      </c>
      <c r="D204">
        <v>2025</v>
      </c>
      <c r="E204" t="s">
        <v>144</v>
      </c>
      <c r="F204">
        <v>144</v>
      </c>
      <c r="G204" t="s">
        <v>143</v>
      </c>
    </row>
    <row r="205" spans="1:7" x14ac:dyDescent="0.35">
      <c r="A205" t="s">
        <v>10</v>
      </c>
      <c r="B205" t="s">
        <v>71</v>
      </c>
      <c r="C205" t="s">
        <v>57</v>
      </c>
      <c r="D205">
        <v>2026</v>
      </c>
      <c r="E205" t="s">
        <v>60</v>
      </c>
      <c r="F205">
        <v>154</v>
      </c>
      <c r="G205" t="s">
        <v>143</v>
      </c>
    </row>
    <row r="206" spans="1:7" x14ac:dyDescent="0.35">
      <c r="A206" t="s">
        <v>11</v>
      </c>
      <c r="B206" t="s">
        <v>72</v>
      </c>
      <c r="C206" t="s">
        <v>57</v>
      </c>
      <c r="D206">
        <v>2022</v>
      </c>
      <c r="E206" t="s">
        <v>60</v>
      </c>
      <c r="F206">
        <v>94</v>
      </c>
      <c r="G206" t="s">
        <v>143</v>
      </c>
    </row>
    <row r="207" spans="1:7" x14ac:dyDescent="0.35">
      <c r="A207" t="s">
        <v>11</v>
      </c>
      <c r="B207" t="s">
        <v>72</v>
      </c>
      <c r="C207" t="s">
        <v>57</v>
      </c>
      <c r="D207">
        <v>2022</v>
      </c>
      <c r="E207" t="s">
        <v>61</v>
      </c>
      <c r="F207">
        <v>101</v>
      </c>
      <c r="G207" t="s">
        <v>143</v>
      </c>
    </row>
    <row r="208" spans="1:7" x14ac:dyDescent="0.35">
      <c r="A208" t="s">
        <v>11</v>
      </c>
      <c r="B208" t="s">
        <v>72</v>
      </c>
      <c r="C208" t="s">
        <v>57</v>
      </c>
      <c r="D208">
        <v>2022</v>
      </c>
      <c r="E208" t="s">
        <v>63</v>
      </c>
      <c r="F208">
        <v>95</v>
      </c>
      <c r="G208" t="s">
        <v>143</v>
      </c>
    </row>
    <row r="209" spans="1:7" x14ac:dyDescent="0.35">
      <c r="A209" t="s">
        <v>11</v>
      </c>
      <c r="B209" t="s">
        <v>72</v>
      </c>
      <c r="C209" t="s">
        <v>57</v>
      </c>
      <c r="D209">
        <v>2022</v>
      </c>
      <c r="E209" t="s">
        <v>144</v>
      </c>
      <c r="F209">
        <v>109</v>
      </c>
      <c r="G209" t="s">
        <v>143</v>
      </c>
    </row>
    <row r="210" spans="1:7" x14ac:dyDescent="0.35">
      <c r="A210" t="s">
        <v>11</v>
      </c>
      <c r="B210" t="s">
        <v>72</v>
      </c>
      <c r="C210" t="s">
        <v>57</v>
      </c>
      <c r="D210">
        <v>2023</v>
      </c>
      <c r="E210" t="s">
        <v>60</v>
      </c>
      <c r="F210">
        <v>95</v>
      </c>
      <c r="G210" t="s">
        <v>143</v>
      </c>
    </row>
    <row r="211" spans="1:7" x14ac:dyDescent="0.35">
      <c r="A211" t="s">
        <v>11</v>
      </c>
      <c r="B211" t="s">
        <v>72</v>
      </c>
      <c r="C211" t="s">
        <v>57</v>
      </c>
      <c r="D211">
        <v>2023</v>
      </c>
      <c r="E211" t="s">
        <v>61</v>
      </c>
      <c r="F211">
        <v>97</v>
      </c>
      <c r="G211" t="s">
        <v>143</v>
      </c>
    </row>
    <row r="212" spans="1:7" x14ac:dyDescent="0.35">
      <c r="A212" t="s">
        <v>11</v>
      </c>
      <c r="B212" t="s">
        <v>72</v>
      </c>
      <c r="C212" t="s">
        <v>57</v>
      </c>
      <c r="D212">
        <v>2023</v>
      </c>
      <c r="E212" t="s">
        <v>63</v>
      </c>
      <c r="F212">
        <v>98</v>
      </c>
      <c r="G212" t="s">
        <v>143</v>
      </c>
    </row>
    <row r="213" spans="1:7" x14ac:dyDescent="0.35">
      <c r="A213" t="s">
        <v>11</v>
      </c>
      <c r="B213" t="s">
        <v>72</v>
      </c>
      <c r="C213" t="s">
        <v>57</v>
      </c>
      <c r="D213">
        <v>2023</v>
      </c>
      <c r="E213" t="s">
        <v>144</v>
      </c>
      <c r="F213">
        <v>106</v>
      </c>
      <c r="G213" t="s">
        <v>143</v>
      </c>
    </row>
    <row r="214" spans="1:7" x14ac:dyDescent="0.35">
      <c r="A214" t="s">
        <v>11</v>
      </c>
      <c r="B214" t="s">
        <v>72</v>
      </c>
      <c r="C214" t="s">
        <v>57</v>
      </c>
      <c r="D214">
        <v>2024</v>
      </c>
      <c r="E214" t="s">
        <v>60</v>
      </c>
      <c r="F214">
        <v>93</v>
      </c>
      <c r="G214" t="s">
        <v>143</v>
      </c>
    </row>
    <row r="215" spans="1:7" x14ac:dyDescent="0.35">
      <c r="A215" t="s">
        <v>11</v>
      </c>
      <c r="B215" t="s">
        <v>72</v>
      </c>
      <c r="C215" t="s">
        <v>57</v>
      </c>
      <c r="D215">
        <v>2024</v>
      </c>
      <c r="E215" t="s">
        <v>61</v>
      </c>
      <c r="F215">
        <v>93</v>
      </c>
      <c r="G215" t="s">
        <v>143</v>
      </c>
    </row>
    <row r="216" spans="1:7" x14ac:dyDescent="0.35">
      <c r="A216" t="s">
        <v>11</v>
      </c>
      <c r="B216" t="s">
        <v>72</v>
      </c>
      <c r="C216" t="s">
        <v>57</v>
      </c>
      <c r="D216">
        <v>2024</v>
      </c>
      <c r="E216" t="s">
        <v>63</v>
      </c>
      <c r="F216">
        <v>95</v>
      </c>
      <c r="G216" t="s">
        <v>143</v>
      </c>
    </row>
    <row r="217" spans="1:7" x14ac:dyDescent="0.35">
      <c r="A217" t="s">
        <v>11</v>
      </c>
      <c r="B217" t="s">
        <v>72</v>
      </c>
      <c r="C217" t="s">
        <v>57</v>
      </c>
      <c r="D217">
        <v>2024</v>
      </c>
      <c r="E217" t="s">
        <v>144</v>
      </c>
      <c r="F217">
        <v>98</v>
      </c>
      <c r="G217" t="s">
        <v>143</v>
      </c>
    </row>
    <row r="218" spans="1:7" x14ac:dyDescent="0.35">
      <c r="A218" t="s">
        <v>11</v>
      </c>
      <c r="B218" t="s">
        <v>72</v>
      </c>
      <c r="C218" t="s">
        <v>57</v>
      </c>
      <c r="D218">
        <v>2025</v>
      </c>
      <c r="E218" t="s">
        <v>60</v>
      </c>
      <c r="F218">
        <v>94</v>
      </c>
      <c r="G218" t="s">
        <v>143</v>
      </c>
    </row>
    <row r="219" spans="1:7" x14ac:dyDescent="0.35">
      <c r="A219" t="s">
        <v>11</v>
      </c>
      <c r="B219" t="s">
        <v>72</v>
      </c>
      <c r="C219" t="s">
        <v>57</v>
      </c>
      <c r="D219">
        <v>2025</v>
      </c>
      <c r="E219" t="s">
        <v>61</v>
      </c>
      <c r="F219">
        <v>97</v>
      </c>
      <c r="G219" t="s">
        <v>143</v>
      </c>
    </row>
    <row r="220" spans="1:7" x14ac:dyDescent="0.35">
      <c r="A220" t="s">
        <v>11</v>
      </c>
      <c r="B220" t="s">
        <v>72</v>
      </c>
      <c r="C220" t="s">
        <v>57</v>
      </c>
      <c r="D220">
        <v>2025</v>
      </c>
      <c r="E220" t="s">
        <v>63</v>
      </c>
      <c r="F220">
        <v>95</v>
      </c>
      <c r="G220" t="s">
        <v>143</v>
      </c>
    </row>
    <row r="221" spans="1:7" x14ac:dyDescent="0.35">
      <c r="A221" t="s">
        <v>99</v>
      </c>
      <c r="B221" t="s">
        <v>102</v>
      </c>
      <c r="C221" t="s">
        <v>57</v>
      </c>
      <c r="D221">
        <v>2024</v>
      </c>
      <c r="E221" t="s">
        <v>144</v>
      </c>
      <c r="F221">
        <v>186</v>
      </c>
      <c r="G221" t="s">
        <v>143</v>
      </c>
    </row>
    <row r="222" spans="1:7" x14ac:dyDescent="0.35">
      <c r="A222" t="s">
        <v>99</v>
      </c>
      <c r="B222" t="s">
        <v>102</v>
      </c>
      <c r="C222" t="s">
        <v>57</v>
      </c>
      <c r="D222">
        <v>2025</v>
      </c>
      <c r="E222" t="s">
        <v>60</v>
      </c>
      <c r="F222">
        <v>212</v>
      </c>
      <c r="G222" t="s">
        <v>143</v>
      </c>
    </row>
    <row r="223" spans="1:7" x14ac:dyDescent="0.35">
      <c r="A223" t="s">
        <v>99</v>
      </c>
      <c r="B223" t="s">
        <v>102</v>
      </c>
      <c r="C223" t="s">
        <v>57</v>
      </c>
      <c r="D223">
        <v>2025</v>
      </c>
      <c r="E223" t="s">
        <v>144</v>
      </c>
      <c r="F223">
        <v>222</v>
      </c>
      <c r="G223" t="s">
        <v>143</v>
      </c>
    </row>
    <row r="224" spans="1:7" x14ac:dyDescent="0.35">
      <c r="A224" t="s">
        <v>99</v>
      </c>
      <c r="B224" t="s">
        <v>102</v>
      </c>
      <c r="C224" t="s">
        <v>57</v>
      </c>
      <c r="D224">
        <v>2026</v>
      </c>
      <c r="E224" t="s">
        <v>60</v>
      </c>
      <c r="F224">
        <v>234</v>
      </c>
      <c r="G224" t="s">
        <v>143</v>
      </c>
    </row>
    <row r="225" spans="1:7" x14ac:dyDescent="0.35">
      <c r="A225" t="s">
        <v>12</v>
      </c>
      <c r="B225" t="s">
        <v>73</v>
      </c>
      <c r="C225" t="s">
        <v>57</v>
      </c>
      <c r="D225">
        <v>2022</v>
      </c>
      <c r="E225" t="s">
        <v>60</v>
      </c>
      <c r="F225">
        <v>2486</v>
      </c>
      <c r="G225" t="s">
        <v>143</v>
      </c>
    </row>
    <row r="226" spans="1:7" x14ac:dyDescent="0.35">
      <c r="A226" t="s">
        <v>12</v>
      </c>
      <c r="B226" t="s">
        <v>73</v>
      </c>
      <c r="C226" t="s">
        <v>57</v>
      </c>
      <c r="D226">
        <v>2022</v>
      </c>
      <c r="E226" t="s">
        <v>61</v>
      </c>
      <c r="F226">
        <v>2590</v>
      </c>
      <c r="G226" t="s">
        <v>143</v>
      </c>
    </row>
    <row r="227" spans="1:7" x14ac:dyDescent="0.35">
      <c r="A227" t="s">
        <v>12</v>
      </c>
      <c r="B227" t="s">
        <v>73</v>
      </c>
      <c r="C227" t="s">
        <v>57</v>
      </c>
      <c r="D227">
        <v>2022</v>
      </c>
      <c r="E227" t="s">
        <v>63</v>
      </c>
      <c r="F227">
        <v>2823</v>
      </c>
      <c r="G227" t="s">
        <v>143</v>
      </c>
    </row>
    <row r="228" spans="1:7" x14ac:dyDescent="0.35">
      <c r="A228" t="s">
        <v>12</v>
      </c>
      <c r="B228" t="s">
        <v>73</v>
      </c>
      <c r="C228" t="s">
        <v>57</v>
      </c>
      <c r="D228">
        <v>2022</v>
      </c>
      <c r="E228" t="s">
        <v>144</v>
      </c>
      <c r="F228">
        <v>2534</v>
      </c>
      <c r="G228" t="s">
        <v>143</v>
      </c>
    </row>
    <row r="229" spans="1:7" x14ac:dyDescent="0.35">
      <c r="A229" t="s">
        <v>12</v>
      </c>
      <c r="B229" t="s">
        <v>73</v>
      </c>
      <c r="C229" t="s">
        <v>57</v>
      </c>
      <c r="D229">
        <v>2023</v>
      </c>
      <c r="E229" t="s">
        <v>60</v>
      </c>
      <c r="F229">
        <v>2512</v>
      </c>
      <c r="G229" t="s">
        <v>143</v>
      </c>
    </row>
    <row r="230" spans="1:7" x14ac:dyDescent="0.35">
      <c r="A230" t="s">
        <v>12</v>
      </c>
      <c r="B230" t="s">
        <v>73</v>
      </c>
      <c r="C230" t="s">
        <v>57</v>
      </c>
      <c r="D230">
        <v>2023</v>
      </c>
      <c r="E230" t="s">
        <v>61</v>
      </c>
      <c r="F230">
        <v>2446</v>
      </c>
      <c r="G230" t="s">
        <v>143</v>
      </c>
    </row>
    <row r="231" spans="1:7" x14ac:dyDescent="0.35">
      <c r="A231" t="s">
        <v>12</v>
      </c>
      <c r="B231" t="s">
        <v>73</v>
      </c>
      <c r="C231" t="s">
        <v>57</v>
      </c>
      <c r="D231">
        <v>2023</v>
      </c>
      <c r="E231" t="s">
        <v>63</v>
      </c>
      <c r="F231">
        <v>2700</v>
      </c>
      <c r="G231" t="s">
        <v>143</v>
      </c>
    </row>
    <row r="232" spans="1:7" x14ac:dyDescent="0.35">
      <c r="A232" t="s">
        <v>12</v>
      </c>
      <c r="B232" t="s">
        <v>73</v>
      </c>
      <c r="C232" t="s">
        <v>57</v>
      </c>
      <c r="D232">
        <v>2023</v>
      </c>
      <c r="E232" t="s">
        <v>144</v>
      </c>
      <c r="F232">
        <v>2575</v>
      </c>
      <c r="G232" t="s">
        <v>143</v>
      </c>
    </row>
    <row r="233" spans="1:7" x14ac:dyDescent="0.35">
      <c r="A233" t="s">
        <v>12</v>
      </c>
      <c r="B233" t="s">
        <v>73</v>
      </c>
      <c r="C233" t="s">
        <v>57</v>
      </c>
      <c r="D233">
        <v>2024</v>
      </c>
      <c r="E233" t="s">
        <v>60</v>
      </c>
      <c r="F233">
        <v>2439</v>
      </c>
      <c r="G233" t="s">
        <v>143</v>
      </c>
    </row>
    <row r="234" spans="1:7" x14ac:dyDescent="0.35">
      <c r="A234" t="s">
        <v>12</v>
      </c>
      <c r="B234" t="s">
        <v>73</v>
      </c>
      <c r="C234" t="s">
        <v>57</v>
      </c>
      <c r="D234">
        <v>2024</v>
      </c>
      <c r="E234" t="s">
        <v>61</v>
      </c>
      <c r="F234">
        <v>2544</v>
      </c>
      <c r="G234" t="s">
        <v>143</v>
      </c>
    </row>
    <row r="235" spans="1:7" x14ac:dyDescent="0.35">
      <c r="A235" t="s">
        <v>12</v>
      </c>
      <c r="B235" t="s">
        <v>73</v>
      </c>
      <c r="C235" t="s">
        <v>57</v>
      </c>
      <c r="D235">
        <v>2024</v>
      </c>
      <c r="E235" t="s">
        <v>63</v>
      </c>
      <c r="F235">
        <v>2766</v>
      </c>
      <c r="G235" t="s">
        <v>143</v>
      </c>
    </row>
    <row r="236" spans="1:7" x14ac:dyDescent="0.35">
      <c r="A236" t="s">
        <v>12</v>
      </c>
      <c r="B236" t="s">
        <v>73</v>
      </c>
      <c r="C236" t="s">
        <v>57</v>
      </c>
      <c r="D236">
        <v>2024</v>
      </c>
      <c r="E236" t="s">
        <v>144</v>
      </c>
      <c r="F236">
        <v>2489</v>
      </c>
      <c r="G236" t="s">
        <v>143</v>
      </c>
    </row>
    <row r="237" spans="1:7" x14ac:dyDescent="0.35">
      <c r="A237" t="s">
        <v>12</v>
      </c>
      <c r="B237" t="s">
        <v>73</v>
      </c>
      <c r="C237" t="s">
        <v>57</v>
      </c>
      <c r="D237">
        <v>2025</v>
      </c>
      <c r="E237" t="s">
        <v>60</v>
      </c>
      <c r="F237">
        <v>2667</v>
      </c>
      <c r="G237" t="s">
        <v>143</v>
      </c>
    </row>
    <row r="238" spans="1:7" x14ac:dyDescent="0.35">
      <c r="A238" t="s">
        <v>12</v>
      </c>
      <c r="B238" t="s">
        <v>73</v>
      </c>
      <c r="C238" t="s">
        <v>57</v>
      </c>
      <c r="D238">
        <v>2025</v>
      </c>
      <c r="E238" t="s">
        <v>61</v>
      </c>
      <c r="F238">
        <v>2695</v>
      </c>
      <c r="G238" t="s">
        <v>143</v>
      </c>
    </row>
    <row r="239" spans="1:7" x14ac:dyDescent="0.35">
      <c r="A239" t="s">
        <v>12</v>
      </c>
      <c r="B239" t="s">
        <v>73</v>
      </c>
      <c r="C239" t="s">
        <v>57</v>
      </c>
      <c r="D239">
        <v>2025</v>
      </c>
      <c r="E239" t="s">
        <v>63</v>
      </c>
      <c r="F239">
        <v>2675</v>
      </c>
      <c r="G239" t="s">
        <v>143</v>
      </c>
    </row>
    <row r="240" spans="1:7" x14ac:dyDescent="0.35">
      <c r="A240" t="s">
        <v>12</v>
      </c>
      <c r="B240" t="s">
        <v>73</v>
      </c>
      <c r="C240" t="s">
        <v>57</v>
      </c>
      <c r="D240">
        <v>2025</v>
      </c>
      <c r="E240" t="s">
        <v>144</v>
      </c>
      <c r="F240">
        <v>2450</v>
      </c>
      <c r="G240" t="s">
        <v>143</v>
      </c>
    </row>
    <row r="241" spans="1:7" x14ac:dyDescent="0.35">
      <c r="A241" t="s">
        <v>12</v>
      </c>
      <c r="B241" t="s">
        <v>73</v>
      </c>
      <c r="C241" t="s">
        <v>57</v>
      </c>
      <c r="D241">
        <v>2026</v>
      </c>
      <c r="E241" t="s">
        <v>60</v>
      </c>
      <c r="F241">
        <v>2206</v>
      </c>
      <c r="G241" t="s">
        <v>143</v>
      </c>
    </row>
    <row r="242" spans="1:7" x14ac:dyDescent="0.35">
      <c r="A242" t="s">
        <v>12</v>
      </c>
      <c r="B242" t="s">
        <v>73</v>
      </c>
      <c r="C242" t="s">
        <v>58</v>
      </c>
      <c r="D242">
        <v>2022</v>
      </c>
      <c r="E242" t="s">
        <v>60</v>
      </c>
      <c r="F242">
        <v>60</v>
      </c>
      <c r="G242" t="s">
        <v>143</v>
      </c>
    </row>
    <row r="243" spans="1:7" x14ac:dyDescent="0.35">
      <c r="A243" t="s">
        <v>12</v>
      </c>
      <c r="B243" t="s">
        <v>73</v>
      </c>
      <c r="C243" t="s">
        <v>58</v>
      </c>
      <c r="D243">
        <v>2022</v>
      </c>
      <c r="E243" t="s">
        <v>61</v>
      </c>
      <c r="F243">
        <v>105</v>
      </c>
      <c r="G243" t="s">
        <v>143</v>
      </c>
    </row>
    <row r="244" spans="1:7" x14ac:dyDescent="0.35">
      <c r="A244" t="s">
        <v>12</v>
      </c>
      <c r="B244" t="s">
        <v>73</v>
      </c>
      <c r="C244" t="s">
        <v>58</v>
      </c>
      <c r="D244">
        <v>2022</v>
      </c>
      <c r="E244" t="s">
        <v>63</v>
      </c>
      <c r="F244">
        <v>56</v>
      </c>
      <c r="G244" t="s">
        <v>143</v>
      </c>
    </row>
    <row r="245" spans="1:7" x14ac:dyDescent="0.35">
      <c r="A245" t="s">
        <v>12</v>
      </c>
      <c r="B245" t="s">
        <v>73</v>
      </c>
      <c r="C245" t="s">
        <v>58</v>
      </c>
      <c r="D245">
        <v>2022</v>
      </c>
      <c r="E245" t="s">
        <v>144</v>
      </c>
      <c r="F245">
        <v>62</v>
      </c>
      <c r="G245" t="s">
        <v>143</v>
      </c>
    </row>
    <row r="246" spans="1:7" x14ac:dyDescent="0.35">
      <c r="A246" t="s">
        <v>12</v>
      </c>
      <c r="B246" t="s">
        <v>73</v>
      </c>
      <c r="C246" t="s">
        <v>58</v>
      </c>
      <c r="D246">
        <v>2023</v>
      </c>
      <c r="E246" t="s">
        <v>60</v>
      </c>
      <c r="F246">
        <v>51</v>
      </c>
      <c r="G246" t="s">
        <v>143</v>
      </c>
    </row>
    <row r="247" spans="1:7" x14ac:dyDescent="0.35">
      <c r="A247" t="s">
        <v>12</v>
      </c>
      <c r="B247" t="s">
        <v>73</v>
      </c>
      <c r="C247" t="s">
        <v>58</v>
      </c>
      <c r="D247">
        <v>2023</v>
      </c>
      <c r="E247" t="s">
        <v>61</v>
      </c>
      <c r="F247">
        <v>53</v>
      </c>
      <c r="G247" t="s">
        <v>143</v>
      </c>
    </row>
    <row r="248" spans="1:7" x14ac:dyDescent="0.35">
      <c r="A248" t="s">
        <v>12</v>
      </c>
      <c r="B248" t="s">
        <v>73</v>
      </c>
      <c r="C248" t="s">
        <v>58</v>
      </c>
      <c r="D248">
        <v>2023</v>
      </c>
      <c r="E248" t="s">
        <v>63</v>
      </c>
      <c r="F248">
        <v>26</v>
      </c>
      <c r="G248" t="s">
        <v>143</v>
      </c>
    </row>
    <row r="249" spans="1:7" x14ac:dyDescent="0.35">
      <c r="A249" t="s">
        <v>12</v>
      </c>
      <c r="B249" t="s">
        <v>73</v>
      </c>
      <c r="C249" t="s">
        <v>58</v>
      </c>
      <c r="D249">
        <v>2023</v>
      </c>
      <c r="E249" t="s">
        <v>144</v>
      </c>
      <c r="F249">
        <v>112</v>
      </c>
      <c r="G249" t="s">
        <v>143</v>
      </c>
    </row>
    <row r="250" spans="1:7" x14ac:dyDescent="0.35">
      <c r="A250" t="s">
        <v>12</v>
      </c>
      <c r="B250" t="s">
        <v>73</v>
      </c>
      <c r="C250" t="s">
        <v>58</v>
      </c>
      <c r="D250">
        <v>2024</v>
      </c>
      <c r="E250" t="s">
        <v>60</v>
      </c>
      <c r="F250">
        <v>54</v>
      </c>
      <c r="G250" t="s">
        <v>143</v>
      </c>
    </row>
    <row r="251" spans="1:7" x14ac:dyDescent="0.35">
      <c r="A251" t="s">
        <v>12</v>
      </c>
      <c r="B251" t="s">
        <v>73</v>
      </c>
      <c r="C251" t="s">
        <v>58</v>
      </c>
      <c r="D251">
        <v>2024</v>
      </c>
      <c r="E251" t="s">
        <v>61</v>
      </c>
      <c r="F251">
        <v>34</v>
      </c>
      <c r="G251" t="s">
        <v>143</v>
      </c>
    </row>
    <row r="252" spans="1:7" x14ac:dyDescent="0.35">
      <c r="A252" t="s">
        <v>12</v>
      </c>
      <c r="B252" t="s">
        <v>73</v>
      </c>
      <c r="C252" t="s">
        <v>58</v>
      </c>
      <c r="D252">
        <v>2024</v>
      </c>
      <c r="E252" t="s">
        <v>63</v>
      </c>
      <c r="F252">
        <v>47</v>
      </c>
      <c r="G252" t="s">
        <v>143</v>
      </c>
    </row>
    <row r="253" spans="1:7" x14ac:dyDescent="0.35">
      <c r="A253" t="s">
        <v>12</v>
      </c>
      <c r="B253" t="s">
        <v>73</v>
      </c>
      <c r="C253" t="s">
        <v>58</v>
      </c>
      <c r="D253">
        <v>2024</v>
      </c>
      <c r="E253" t="s">
        <v>144</v>
      </c>
      <c r="F253">
        <v>65</v>
      </c>
      <c r="G253" t="s">
        <v>143</v>
      </c>
    </row>
    <row r="254" spans="1:7" x14ac:dyDescent="0.35">
      <c r="A254" t="s">
        <v>12</v>
      </c>
      <c r="B254" t="s">
        <v>73</v>
      </c>
      <c r="C254" t="s">
        <v>58</v>
      </c>
      <c r="D254">
        <v>2025</v>
      </c>
      <c r="E254" t="s">
        <v>60</v>
      </c>
      <c r="F254">
        <v>36</v>
      </c>
      <c r="G254" t="s">
        <v>143</v>
      </c>
    </row>
    <row r="255" spans="1:7" x14ac:dyDescent="0.35">
      <c r="A255" t="s">
        <v>12</v>
      </c>
      <c r="B255" t="s">
        <v>73</v>
      </c>
      <c r="C255" t="s">
        <v>58</v>
      </c>
      <c r="D255">
        <v>2025</v>
      </c>
      <c r="E255" t="s">
        <v>61</v>
      </c>
      <c r="F255">
        <v>56</v>
      </c>
      <c r="G255" t="s">
        <v>143</v>
      </c>
    </row>
    <row r="256" spans="1:7" x14ac:dyDescent="0.35">
      <c r="A256" t="s">
        <v>12</v>
      </c>
      <c r="B256" t="s">
        <v>73</v>
      </c>
      <c r="C256" t="s">
        <v>58</v>
      </c>
      <c r="D256">
        <v>2025</v>
      </c>
      <c r="E256" t="s">
        <v>63</v>
      </c>
      <c r="F256">
        <v>74</v>
      </c>
      <c r="G256" t="s">
        <v>143</v>
      </c>
    </row>
    <row r="257" spans="1:7" x14ac:dyDescent="0.35">
      <c r="A257" t="s">
        <v>12</v>
      </c>
      <c r="B257" t="s">
        <v>73</v>
      </c>
      <c r="C257" t="s">
        <v>58</v>
      </c>
      <c r="D257">
        <v>2025</v>
      </c>
      <c r="E257" t="s">
        <v>144</v>
      </c>
      <c r="F257">
        <v>79</v>
      </c>
      <c r="G257" t="s">
        <v>143</v>
      </c>
    </row>
    <row r="258" spans="1:7" x14ac:dyDescent="0.35">
      <c r="A258" t="s">
        <v>12</v>
      </c>
      <c r="B258" t="s">
        <v>73</v>
      </c>
      <c r="C258" t="s">
        <v>58</v>
      </c>
      <c r="D258">
        <v>2026</v>
      </c>
      <c r="E258" t="s">
        <v>60</v>
      </c>
      <c r="F258">
        <v>25</v>
      </c>
      <c r="G258" t="s">
        <v>143</v>
      </c>
    </row>
    <row r="259" spans="1:7" x14ac:dyDescent="0.35">
      <c r="A259" t="s">
        <v>12</v>
      </c>
      <c r="B259" t="s">
        <v>73</v>
      </c>
      <c r="C259" t="s">
        <v>59</v>
      </c>
      <c r="D259">
        <v>2022</v>
      </c>
      <c r="E259" t="s">
        <v>60</v>
      </c>
      <c r="F259">
        <v>-174</v>
      </c>
      <c r="G259" t="s">
        <v>143</v>
      </c>
    </row>
    <row r="260" spans="1:7" x14ac:dyDescent="0.35">
      <c r="A260" t="s">
        <v>12</v>
      </c>
      <c r="B260" t="s">
        <v>73</v>
      </c>
      <c r="C260" t="s">
        <v>59</v>
      </c>
      <c r="D260">
        <v>2022</v>
      </c>
      <c r="E260" t="s">
        <v>61</v>
      </c>
      <c r="F260">
        <v>1011</v>
      </c>
      <c r="G260" t="s">
        <v>143</v>
      </c>
    </row>
    <row r="261" spans="1:7" x14ac:dyDescent="0.35">
      <c r="A261" t="s">
        <v>12</v>
      </c>
      <c r="B261" t="s">
        <v>73</v>
      </c>
      <c r="C261" t="s">
        <v>59</v>
      </c>
      <c r="D261">
        <v>2022</v>
      </c>
      <c r="E261" t="s">
        <v>63</v>
      </c>
      <c r="F261">
        <v>167</v>
      </c>
      <c r="G261" t="s">
        <v>143</v>
      </c>
    </row>
    <row r="262" spans="1:7" x14ac:dyDescent="0.35">
      <c r="A262" t="s">
        <v>12</v>
      </c>
      <c r="B262" t="s">
        <v>73</v>
      </c>
      <c r="C262" t="s">
        <v>59</v>
      </c>
      <c r="D262">
        <v>2022</v>
      </c>
      <c r="E262" t="s">
        <v>144</v>
      </c>
      <c r="F262">
        <v>985</v>
      </c>
      <c r="G262" t="s">
        <v>143</v>
      </c>
    </row>
    <row r="263" spans="1:7" x14ac:dyDescent="0.35">
      <c r="A263" t="s">
        <v>12</v>
      </c>
      <c r="B263" t="s">
        <v>73</v>
      </c>
      <c r="C263" t="s">
        <v>59</v>
      </c>
      <c r="D263">
        <v>2023</v>
      </c>
      <c r="E263" t="s">
        <v>60</v>
      </c>
      <c r="F263">
        <v>694</v>
      </c>
      <c r="G263" t="s">
        <v>143</v>
      </c>
    </row>
    <row r="264" spans="1:7" x14ac:dyDescent="0.35">
      <c r="A264" t="s">
        <v>12</v>
      </c>
      <c r="B264" t="s">
        <v>73</v>
      </c>
      <c r="C264" t="s">
        <v>59</v>
      </c>
      <c r="D264">
        <v>2023</v>
      </c>
      <c r="E264" t="s">
        <v>61</v>
      </c>
      <c r="F264">
        <v>919</v>
      </c>
      <c r="G264" t="s">
        <v>143</v>
      </c>
    </row>
    <row r="265" spans="1:7" x14ac:dyDescent="0.35">
      <c r="A265" t="s">
        <v>12</v>
      </c>
      <c r="B265" t="s">
        <v>73</v>
      </c>
      <c r="C265" t="s">
        <v>59</v>
      </c>
      <c r="D265">
        <v>2023</v>
      </c>
      <c r="E265" t="s">
        <v>63</v>
      </c>
      <c r="F265">
        <v>1796</v>
      </c>
      <c r="G265" t="s">
        <v>143</v>
      </c>
    </row>
    <row r="266" spans="1:7" x14ac:dyDescent="0.35">
      <c r="A266" t="s">
        <v>12</v>
      </c>
      <c r="B266" t="s">
        <v>73</v>
      </c>
      <c r="C266" t="s">
        <v>59</v>
      </c>
      <c r="D266">
        <v>2023</v>
      </c>
      <c r="E266" t="s">
        <v>144</v>
      </c>
      <c r="F266">
        <v>1458</v>
      </c>
      <c r="G266" t="s">
        <v>143</v>
      </c>
    </row>
    <row r="267" spans="1:7" x14ac:dyDescent="0.35">
      <c r="A267" t="s">
        <v>12</v>
      </c>
      <c r="B267" t="s">
        <v>73</v>
      </c>
      <c r="C267" t="s">
        <v>59</v>
      </c>
      <c r="D267">
        <v>2024</v>
      </c>
      <c r="E267" t="s">
        <v>60</v>
      </c>
      <c r="F267">
        <v>-137</v>
      </c>
      <c r="G267" t="s">
        <v>143</v>
      </c>
    </row>
    <row r="268" spans="1:7" x14ac:dyDescent="0.35">
      <c r="A268" t="s">
        <v>12</v>
      </c>
      <c r="B268" t="s">
        <v>73</v>
      </c>
      <c r="C268" t="s">
        <v>59</v>
      </c>
      <c r="D268">
        <v>2024</v>
      </c>
      <c r="E268" t="s">
        <v>61</v>
      </c>
      <c r="F268">
        <v>1062</v>
      </c>
      <c r="G268" t="s">
        <v>143</v>
      </c>
    </row>
    <row r="269" spans="1:7" x14ac:dyDescent="0.35">
      <c r="A269" t="s">
        <v>12</v>
      </c>
      <c r="B269" t="s">
        <v>73</v>
      </c>
      <c r="C269" t="s">
        <v>59</v>
      </c>
      <c r="D269">
        <v>2024</v>
      </c>
      <c r="E269" t="s">
        <v>63</v>
      </c>
      <c r="F269">
        <v>1823</v>
      </c>
      <c r="G269" t="s">
        <v>143</v>
      </c>
    </row>
    <row r="270" spans="1:7" x14ac:dyDescent="0.35">
      <c r="A270" t="s">
        <v>12</v>
      </c>
      <c r="B270" t="s">
        <v>73</v>
      </c>
      <c r="C270" t="s">
        <v>59</v>
      </c>
      <c r="D270">
        <v>2024</v>
      </c>
      <c r="E270" t="s">
        <v>144</v>
      </c>
      <c r="F270">
        <v>556</v>
      </c>
      <c r="G270" t="s">
        <v>143</v>
      </c>
    </row>
    <row r="271" spans="1:7" x14ac:dyDescent="0.35">
      <c r="A271" t="s">
        <v>12</v>
      </c>
      <c r="B271" t="s">
        <v>73</v>
      </c>
      <c r="C271" t="s">
        <v>59</v>
      </c>
      <c r="D271">
        <v>2025</v>
      </c>
      <c r="E271" t="s">
        <v>60</v>
      </c>
      <c r="F271">
        <v>-27</v>
      </c>
      <c r="G271" t="s">
        <v>143</v>
      </c>
    </row>
    <row r="272" spans="1:7" x14ac:dyDescent="0.35">
      <c r="A272" t="s">
        <v>12</v>
      </c>
      <c r="B272" t="s">
        <v>73</v>
      </c>
      <c r="C272" t="s">
        <v>59</v>
      </c>
      <c r="D272">
        <v>2025</v>
      </c>
      <c r="E272" t="s">
        <v>61</v>
      </c>
      <c r="F272">
        <v>1608</v>
      </c>
      <c r="G272" t="s">
        <v>143</v>
      </c>
    </row>
    <row r="273" spans="1:7" x14ac:dyDescent="0.35">
      <c r="A273" t="s">
        <v>12</v>
      </c>
      <c r="B273" t="s">
        <v>73</v>
      </c>
      <c r="C273" t="s">
        <v>59</v>
      </c>
      <c r="D273">
        <v>2025</v>
      </c>
      <c r="E273" t="s">
        <v>63</v>
      </c>
      <c r="F273">
        <v>1701</v>
      </c>
      <c r="G273" t="s">
        <v>143</v>
      </c>
    </row>
    <row r="274" spans="1:7" x14ac:dyDescent="0.35">
      <c r="A274" t="s">
        <v>12</v>
      </c>
      <c r="B274" t="s">
        <v>73</v>
      </c>
      <c r="C274" t="s">
        <v>59</v>
      </c>
      <c r="D274">
        <v>2025</v>
      </c>
      <c r="E274" t="s">
        <v>144</v>
      </c>
      <c r="F274">
        <v>206</v>
      </c>
      <c r="G274" t="s">
        <v>143</v>
      </c>
    </row>
    <row r="275" spans="1:7" x14ac:dyDescent="0.35">
      <c r="A275" t="s">
        <v>12</v>
      </c>
      <c r="B275" t="s">
        <v>73</v>
      </c>
      <c r="C275" t="s">
        <v>59</v>
      </c>
      <c r="D275">
        <v>2026</v>
      </c>
      <c r="E275" t="s">
        <v>60</v>
      </c>
      <c r="F275">
        <v>986</v>
      </c>
      <c r="G275" t="s">
        <v>143</v>
      </c>
    </row>
    <row r="276" spans="1:7" x14ac:dyDescent="0.35">
      <c r="A276" t="s">
        <v>13</v>
      </c>
      <c r="B276" t="s">
        <v>74</v>
      </c>
      <c r="C276" t="s">
        <v>57</v>
      </c>
      <c r="D276">
        <v>2022</v>
      </c>
      <c r="E276" t="s">
        <v>60</v>
      </c>
      <c r="F276">
        <v>1644</v>
      </c>
      <c r="G276" t="s">
        <v>143</v>
      </c>
    </row>
    <row r="277" spans="1:7" x14ac:dyDescent="0.35">
      <c r="A277" t="s">
        <v>13</v>
      </c>
      <c r="B277" t="s">
        <v>74</v>
      </c>
      <c r="C277" t="s">
        <v>57</v>
      </c>
      <c r="D277">
        <v>2022</v>
      </c>
      <c r="E277" t="s">
        <v>61</v>
      </c>
      <c r="F277">
        <v>1954</v>
      </c>
      <c r="G277" t="s">
        <v>143</v>
      </c>
    </row>
    <row r="278" spans="1:7" x14ac:dyDescent="0.35">
      <c r="A278" t="s">
        <v>13</v>
      </c>
      <c r="B278" t="s">
        <v>74</v>
      </c>
      <c r="C278" t="s">
        <v>57</v>
      </c>
      <c r="D278">
        <v>2022</v>
      </c>
      <c r="E278" t="s">
        <v>63</v>
      </c>
      <c r="F278">
        <v>1641</v>
      </c>
      <c r="G278" t="s">
        <v>143</v>
      </c>
    </row>
    <row r="279" spans="1:7" x14ac:dyDescent="0.35">
      <c r="A279" t="s">
        <v>13</v>
      </c>
      <c r="B279" t="s">
        <v>74</v>
      </c>
      <c r="C279" t="s">
        <v>57</v>
      </c>
      <c r="D279">
        <v>2022</v>
      </c>
      <c r="E279" t="s">
        <v>144</v>
      </c>
      <c r="F279">
        <v>1650</v>
      </c>
      <c r="G279" t="s">
        <v>143</v>
      </c>
    </row>
    <row r="280" spans="1:7" x14ac:dyDescent="0.35">
      <c r="A280" t="s">
        <v>13</v>
      </c>
      <c r="B280" t="s">
        <v>74</v>
      </c>
      <c r="C280" t="s">
        <v>57</v>
      </c>
      <c r="D280">
        <v>2023</v>
      </c>
      <c r="E280" t="s">
        <v>60</v>
      </c>
      <c r="F280">
        <v>1827</v>
      </c>
      <c r="G280" t="s">
        <v>143</v>
      </c>
    </row>
    <row r="281" spans="1:7" x14ac:dyDescent="0.35">
      <c r="A281" t="s">
        <v>13</v>
      </c>
      <c r="B281" t="s">
        <v>74</v>
      </c>
      <c r="C281" t="s">
        <v>57</v>
      </c>
      <c r="D281">
        <v>2023</v>
      </c>
      <c r="E281" t="s">
        <v>61</v>
      </c>
      <c r="F281">
        <v>1212</v>
      </c>
      <c r="G281" t="s">
        <v>143</v>
      </c>
    </row>
    <row r="282" spans="1:7" x14ac:dyDescent="0.35">
      <c r="A282" t="s">
        <v>13</v>
      </c>
      <c r="B282" t="s">
        <v>74</v>
      </c>
      <c r="C282" t="s">
        <v>57</v>
      </c>
      <c r="D282">
        <v>2023</v>
      </c>
      <c r="E282" t="s">
        <v>63</v>
      </c>
      <c r="F282">
        <v>1510</v>
      </c>
      <c r="G282" t="s">
        <v>143</v>
      </c>
    </row>
    <row r="283" spans="1:7" x14ac:dyDescent="0.35">
      <c r="A283" t="s">
        <v>13</v>
      </c>
      <c r="B283" t="s">
        <v>74</v>
      </c>
      <c r="C283" t="s">
        <v>57</v>
      </c>
      <c r="D283">
        <v>2023</v>
      </c>
      <c r="E283" t="s">
        <v>144</v>
      </c>
      <c r="F283">
        <v>1385</v>
      </c>
      <c r="G283" t="s">
        <v>143</v>
      </c>
    </row>
    <row r="284" spans="1:7" x14ac:dyDescent="0.35">
      <c r="A284" t="s">
        <v>13</v>
      </c>
      <c r="B284" t="s">
        <v>74</v>
      </c>
      <c r="C284" t="s">
        <v>57</v>
      </c>
      <c r="D284">
        <v>2024</v>
      </c>
      <c r="E284" t="s">
        <v>60</v>
      </c>
      <c r="F284">
        <v>1506</v>
      </c>
      <c r="G284" t="s">
        <v>143</v>
      </c>
    </row>
    <row r="285" spans="1:7" x14ac:dyDescent="0.35">
      <c r="A285" t="s">
        <v>13</v>
      </c>
      <c r="B285" t="s">
        <v>74</v>
      </c>
      <c r="C285" t="s">
        <v>57</v>
      </c>
      <c r="D285">
        <v>2024</v>
      </c>
      <c r="E285" t="s">
        <v>61</v>
      </c>
      <c r="F285">
        <v>1205</v>
      </c>
      <c r="G285" t="s">
        <v>143</v>
      </c>
    </row>
    <row r="286" spans="1:7" x14ac:dyDescent="0.35">
      <c r="A286" t="s">
        <v>13</v>
      </c>
      <c r="B286" t="s">
        <v>74</v>
      </c>
      <c r="C286" t="s">
        <v>57</v>
      </c>
      <c r="D286">
        <v>2024</v>
      </c>
      <c r="E286" t="s">
        <v>63</v>
      </c>
      <c r="F286">
        <v>1036</v>
      </c>
      <c r="G286" t="s">
        <v>143</v>
      </c>
    </row>
    <row r="287" spans="1:7" x14ac:dyDescent="0.35">
      <c r="A287" t="s">
        <v>13</v>
      </c>
      <c r="B287" t="s">
        <v>74</v>
      </c>
      <c r="C287" t="s">
        <v>57</v>
      </c>
      <c r="D287">
        <v>2024</v>
      </c>
      <c r="E287" t="s">
        <v>144</v>
      </c>
      <c r="F287">
        <v>1381</v>
      </c>
      <c r="G287" t="s">
        <v>143</v>
      </c>
    </row>
    <row r="288" spans="1:7" x14ac:dyDescent="0.35">
      <c r="A288" t="s">
        <v>13</v>
      </c>
      <c r="B288" t="s">
        <v>74</v>
      </c>
      <c r="C288" t="s">
        <v>57</v>
      </c>
      <c r="D288">
        <v>2025</v>
      </c>
      <c r="E288" t="s">
        <v>60</v>
      </c>
      <c r="F288">
        <v>1656</v>
      </c>
      <c r="G288" t="s">
        <v>143</v>
      </c>
    </row>
    <row r="289" spans="1:7" x14ac:dyDescent="0.35">
      <c r="A289" t="s">
        <v>13</v>
      </c>
      <c r="B289" t="s">
        <v>74</v>
      </c>
      <c r="C289" t="s">
        <v>57</v>
      </c>
      <c r="D289">
        <v>2025</v>
      </c>
      <c r="E289" t="s">
        <v>61</v>
      </c>
      <c r="F289">
        <v>1168</v>
      </c>
      <c r="G289" t="s">
        <v>143</v>
      </c>
    </row>
    <row r="290" spans="1:7" x14ac:dyDescent="0.35">
      <c r="A290" t="s">
        <v>13</v>
      </c>
      <c r="B290" t="s">
        <v>74</v>
      </c>
      <c r="C290" t="s">
        <v>57</v>
      </c>
      <c r="D290">
        <v>2025</v>
      </c>
      <c r="E290" t="s">
        <v>63</v>
      </c>
      <c r="F290">
        <v>1227</v>
      </c>
      <c r="G290" t="s">
        <v>143</v>
      </c>
    </row>
    <row r="291" spans="1:7" x14ac:dyDescent="0.35">
      <c r="A291" t="s">
        <v>13</v>
      </c>
      <c r="B291" t="s">
        <v>74</v>
      </c>
      <c r="C291" t="s">
        <v>57</v>
      </c>
      <c r="D291">
        <v>2025</v>
      </c>
      <c r="E291" t="s">
        <v>144</v>
      </c>
      <c r="F291">
        <v>1216</v>
      </c>
      <c r="G291" t="s">
        <v>143</v>
      </c>
    </row>
    <row r="292" spans="1:7" x14ac:dyDescent="0.35">
      <c r="A292" t="s">
        <v>13</v>
      </c>
      <c r="B292" t="s">
        <v>74</v>
      </c>
      <c r="C292" t="s">
        <v>57</v>
      </c>
      <c r="D292">
        <v>2026</v>
      </c>
      <c r="E292" t="s">
        <v>60</v>
      </c>
      <c r="F292">
        <v>1447</v>
      </c>
      <c r="G292" t="s">
        <v>143</v>
      </c>
    </row>
    <row r="293" spans="1:7" x14ac:dyDescent="0.35">
      <c r="A293" t="s">
        <v>13</v>
      </c>
      <c r="B293" t="s">
        <v>74</v>
      </c>
      <c r="C293" t="s">
        <v>58</v>
      </c>
      <c r="D293">
        <v>2022</v>
      </c>
      <c r="E293" t="s">
        <v>60</v>
      </c>
      <c r="F293">
        <v>16</v>
      </c>
      <c r="G293" t="s">
        <v>143</v>
      </c>
    </row>
    <row r="294" spans="1:7" x14ac:dyDescent="0.35">
      <c r="A294" t="s">
        <v>13</v>
      </c>
      <c r="B294" t="s">
        <v>74</v>
      </c>
      <c r="C294" t="s">
        <v>58</v>
      </c>
      <c r="D294">
        <v>2022</v>
      </c>
      <c r="E294" t="s">
        <v>61</v>
      </c>
      <c r="F294">
        <v>41</v>
      </c>
      <c r="G294" t="s">
        <v>143</v>
      </c>
    </row>
    <row r="295" spans="1:7" x14ac:dyDescent="0.35">
      <c r="A295" t="s">
        <v>13</v>
      </c>
      <c r="B295" t="s">
        <v>74</v>
      </c>
      <c r="C295" t="s">
        <v>58</v>
      </c>
      <c r="D295">
        <v>2022</v>
      </c>
      <c r="E295" t="s">
        <v>63</v>
      </c>
      <c r="F295">
        <v>9</v>
      </c>
      <c r="G295" t="s">
        <v>143</v>
      </c>
    </row>
    <row r="296" spans="1:7" x14ac:dyDescent="0.35">
      <c r="A296" t="s">
        <v>13</v>
      </c>
      <c r="B296" t="s">
        <v>74</v>
      </c>
      <c r="C296" t="s">
        <v>58</v>
      </c>
      <c r="D296">
        <v>2022</v>
      </c>
      <c r="E296" t="s">
        <v>144</v>
      </c>
      <c r="F296">
        <v>100</v>
      </c>
      <c r="G296" t="s">
        <v>143</v>
      </c>
    </row>
    <row r="297" spans="1:7" x14ac:dyDescent="0.35">
      <c r="A297" t="s">
        <v>13</v>
      </c>
      <c r="B297" t="s">
        <v>74</v>
      </c>
      <c r="C297" t="s">
        <v>58</v>
      </c>
      <c r="D297">
        <v>2023</v>
      </c>
      <c r="E297" t="s">
        <v>60</v>
      </c>
      <c r="F297">
        <v>11</v>
      </c>
      <c r="G297" t="s">
        <v>143</v>
      </c>
    </row>
    <row r="298" spans="1:7" x14ac:dyDescent="0.35">
      <c r="A298" t="s">
        <v>13</v>
      </c>
      <c r="B298" t="s">
        <v>74</v>
      </c>
      <c r="C298" t="s">
        <v>58</v>
      </c>
      <c r="D298">
        <v>2023</v>
      </c>
      <c r="E298" t="s">
        <v>61</v>
      </c>
      <c r="F298">
        <v>23</v>
      </c>
      <c r="G298" t="s">
        <v>143</v>
      </c>
    </row>
    <row r="299" spans="1:7" x14ac:dyDescent="0.35">
      <c r="A299" t="s">
        <v>13</v>
      </c>
      <c r="B299" t="s">
        <v>74</v>
      </c>
      <c r="C299" t="s">
        <v>58</v>
      </c>
      <c r="D299">
        <v>2023</v>
      </c>
      <c r="E299" t="s">
        <v>63</v>
      </c>
      <c r="F299">
        <v>37</v>
      </c>
      <c r="G299" t="s">
        <v>143</v>
      </c>
    </row>
    <row r="300" spans="1:7" x14ac:dyDescent="0.35">
      <c r="A300" t="s">
        <v>13</v>
      </c>
      <c r="B300" t="s">
        <v>74</v>
      </c>
      <c r="C300" t="s">
        <v>58</v>
      </c>
      <c r="D300">
        <v>2023</v>
      </c>
      <c r="E300" t="s">
        <v>144</v>
      </c>
      <c r="F300">
        <v>47</v>
      </c>
      <c r="G300" t="s">
        <v>143</v>
      </c>
    </row>
    <row r="301" spans="1:7" x14ac:dyDescent="0.35">
      <c r="A301" t="s">
        <v>13</v>
      </c>
      <c r="B301" t="s">
        <v>74</v>
      </c>
      <c r="C301" t="s">
        <v>58</v>
      </c>
      <c r="D301">
        <v>2024</v>
      </c>
      <c r="E301" t="s">
        <v>60</v>
      </c>
      <c r="F301">
        <v>48</v>
      </c>
      <c r="G301" t="s">
        <v>143</v>
      </c>
    </row>
    <row r="302" spans="1:7" x14ac:dyDescent="0.35">
      <c r="A302" t="s">
        <v>13</v>
      </c>
      <c r="B302" t="s">
        <v>74</v>
      </c>
      <c r="C302" t="s">
        <v>58</v>
      </c>
      <c r="D302">
        <v>2024</v>
      </c>
      <c r="E302" t="s">
        <v>61</v>
      </c>
      <c r="F302">
        <v>52</v>
      </c>
      <c r="G302" t="s">
        <v>143</v>
      </c>
    </row>
    <row r="303" spans="1:7" x14ac:dyDescent="0.35">
      <c r="A303" t="s">
        <v>13</v>
      </c>
      <c r="B303" t="s">
        <v>74</v>
      </c>
      <c r="C303" t="s">
        <v>58</v>
      </c>
      <c r="D303">
        <v>2024</v>
      </c>
      <c r="E303" t="s">
        <v>63</v>
      </c>
      <c r="F303">
        <v>9</v>
      </c>
      <c r="G303" t="s">
        <v>143</v>
      </c>
    </row>
    <row r="304" spans="1:7" x14ac:dyDescent="0.35">
      <c r="A304" t="s">
        <v>13</v>
      </c>
      <c r="B304" t="s">
        <v>74</v>
      </c>
      <c r="C304" t="s">
        <v>58</v>
      </c>
      <c r="D304">
        <v>2024</v>
      </c>
      <c r="E304" t="s">
        <v>144</v>
      </c>
      <c r="F304">
        <v>50</v>
      </c>
      <c r="G304" t="s">
        <v>143</v>
      </c>
    </row>
    <row r="305" spans="1:7" x14ac:dyDescent="0.35">
      <c r="A305" t="s">
        <v>13</v>
      </c>
      <c r="B305" t="s">
        <v>74</v>
      </c>
      <c r="C305" t="s">
        <v>58</v>
      </c>
      <c r="D305">
        <v>2025</v>
      </c>
      <c r="E305" t="s">
        <v>60</v>
      </c>
      <c r="F305">
        <v>6</v>
      </c>
      <c r="G305" t="s">
        <v>143</v>
      </c>
    </row>
    <row r="306" spans="1:7" x14ac:dyDescent="0.35">
      <c r="A306" t="s">
        <v>13</v>
      </c>
      <c r="B306" t="s">
        <v>74</v>
      </c>
      <c r="C306" t="s">
        <v>58</v>
      </c>
      <c r="D306">
        <v>2025</v>
      </c>
      <c r="E306" t="s">
        <v>61</v>
      </c>
      <c r="F306">
        <v>13</v>
      </c>
      <c r="G306" t="s">
        <v>143</v>
      </c>
    </row>
    <row r="307" spans="1:7" x14ac:dyDescent="0.35">
      <c r="A307" t="s">
        <v>13</v>
      </c>
      <c r="B307" t="s">
        <v>74</v>
      </c>
      <c r="C307" t="s">
        <v>58</v>
      </c>
      <c r="D307">
        <v>2025</v>
      </c>
      <c r="E307" t="s">
        <v>63</v>
      </c>
      <c r="F307">
        <v>9</v>
      </c>
      <c r="G307" t="s">
        <v>143</v>
      </c>
    </row>
    <row r="308" spans="1:7" x14ac:dyDescent="0.35">
      <c r="A308" t="s">
        <v>13</v>
      </c>
      <c r="B308" t="s">
        <v>74</v>
      </c>
      <c r="C308" t="s">
        <v>58</v>
      </c>
      <c r="D308">
        <v>2025</v>
      </c>
      <c r="E308" t="s">
        <v>144</v>
      </c>
      <c r="F308">
        <v>33</v>
      </c>
      <c r="G308" t="s">
        <v>143</v>
      </c>
    </row>
    <row r="309" spans="1:7" x14ac:dyDescent="0.35">
      <c r="A309" t="s">
        <v>13</v>
      </c>
      <c r="B309" t="s">
        <v>74</v>
      </c>
      <c r="C309" t="s">
        <v>58</v>
      </c>
      <c r="D309">
        <v>2026</v>
      </c>
      <c r="E309" t="s">
        <v>60</v>
      </c>
      <c r="F309">
        <v>14</v>
      </c>
      <c r="G309" t="s">
        <v>143</v>
      </c>
    </row>
    <row r="310" spans="1:7" x14ac:dyDescent="0.35">
      <c r="A310" t="s">
        <v>13</v>
      </c>
      <c r="B310" t="s">
        <v>74</v>
      </c>
      <c r="C310" t="s">
        <v>59</v>
      </c>
      <c r="D310">
        <v>2022</v>
      </c>
      <c r="E310" t="s">
        <v>60</v>
      </c>
      <c r="F310">
        <v>-1002</v>
      </c>
      <c r="G310" t="s">
        <v>143</v>
      </c>
    </row>
    <row r="311" spans="1:7" x14ac:dyDescent="0.35">
      <c r="A311" t="s">
        <v>13</v>
      </c>
      <c r="B311" t="s">
        <v>74</v>
      </c>
      <c r="C311" t="s">
        <v>59</v>
      </c>
      <c r="D311">
        <v>2022</v>
      </c>
      <c r="E311" t="s">
        <v>61</v>
      </c>
      <c r="F311">
        <v>-921</v>
      </c>
      <c r="G311" t="s">
        <v>143</v>
      </c>
    </row>
    <row r="312" spans="1:7" x14ac:dyDescent="0.35">
      <c r="A312" t="s">
        <v>13</v>
      </c>
      <c r="B312" t="s">
        <v>74</v>
      </c>
      <c r="C312" t="s">
        <v>59</v>
      </c>
      <c r="D312">
        <v>2022</v>
      </c>
      <c r="E312" t="s">
        <v>63</v>
      </c>
      <c r="F312">
        <v>-1087</v>
      </c>
      <c r="G312" t="s">
        <v>143</v>
      </c>
    </row>
    <row r="313" spans="1:7" x14ac:dyDescent="0.35">
      <c r="A313" t="s">
        <v>13</v>
      </c>
      <c r="B313" t="s">
        <v>74</v>
      </c>
      <c r="C313" t="s">
        <v>59</v>
      </c>
      <c r="D313">
        <v>2022</v>
      </c>
      <c r="E313" t="s">
        <v>144</v>
      </c>
      <c r="F313">
        <v>-1094</v>
      </c>
      <c r="G313" t="s">
        <v>143</v>
      </c>
    </row>
    <row r="314" spans="1:7" x14ac:dyDescent="0.35">
      <c r="A314" t="s">
        <v>13</v>
      </c>
      <c r="B314" t="s">
        <v>74</v>
      </c>
      <c r="C314" t="s">
        <v>59</v>
      </c>
      <c r="D314">
        <v>2023</v>
      </c>
      <c r="E314" t="s">
        <v>60</v>
      </c>
      <c r="F314">
        <v>-1551</v>
      </c>
      <c r="G314" t="s">
        <v>143</v>
      </c>
    </row>
    <row r="315" spans="1:7" x14ac:dyDescent="0.35">
      <c r="A315" t="s">
        <v>13</v>
      </c>
      <c r="B315" t="s">
        <v>74</v>
      </c>
      <c r="C315" t="s">
        <v>59</v>
      </c>
      <c r="D315">
        <v>2023</v>
      </c>
      <c r="E315" t="s">
        <v>61</v>
      </c>
      <c r="F315">
        <v>-1094</v>
      </c>
      <c r="G315" t="s">
        <v>143</v>
      </c>
    </row>
    <row r="316" spans="1:7" x14ac:dyDescent="0.35">
      <c r="A316" t="s">
        <v>13</v>
      </c>
      <c r="B316" t="s">
        <v>74</v>
      </c>
      <c r="C316" t="s">
        <v>59</v>
      </c>
      <c r="D316">
        <v>2023</v>
      </c>
      <c r="E316" t="s">
        <v>63</v>
      </c>
      <c r="F316">
        <v>-1659</v>
      </c>
      <c r="G316" t="s">
        <v>143</v>
      </c>
    </row>
    <row r="317" spans="1:7" x14ac:dyDescent="0.35">
      <c r="A317" t="s">
        <v>13</v>
      </c>
      <c r="B317" t="s">
        <v>74</v>
      </c>
      <c r="C317" t="s">
        <v>59</v>
      </c>
      <c r="D317">
        <v>2023</v>
      </c>
      <c r="E317" t="s">
        <v>144</v>
      </c>
      <c r="F317">
        <v>36</v>
      </c>
      <c r="G317" t="s">
        <v>143</v>
      </c>
    </row>
    <row r="318" spans="1:7" x14ac:dyDescent="0.35">
      <c r="A318" t="s">
        <v>13</v>
      </c>
      <c r="B318" t="s">
        <v>74</v>
      </c>
      <c r="C318" t="s">
        <v>59</v>
      </c>
      <c r="D318">
        <v>2024</v>
      </c>
      <c r="E318" t="s">
        <v>60</v>
      </c>
      <c r="F318">
        <v>-279</v>
      </c>
      <c r="G318" t="s">
        <v>143</v>
      </c>
    </row>
    <row r="319" spans="1:7" x14ac:dyDescent="0.35">
      <c r="A319" t="s">
        <v>13</v>
      </c>
      <c r="B319" t="s">
        <v>74</v>
      </c>
      <c r="C319" t="s">
        <v>59</v>
      </c>
      <c r="D319">
        <v>2024</v>
      </c>
      <c r="E319" t="s">
        <v>61</v>
      </c>
      <c r="F319">
        <v>24</v>
      </c>
      <c r="G319" t="s">
        <v>143</v>
      </c>
    </row>
    <row r="320" spans="1:7" x14ac:dyDescent="0.35">
      <c r="A320" t="s">
        <v>13</v>
      </c>
      <c r="B320" t="s">
        <v>74</v>
      </c>
      <c r="C320" t="s">
        <v>59</v>
      </c>
      <c r="D320">
        <v>2024</v>
      </c>
      <c r="E320" t="s">
        <v>63</v>
      </c>
      <c r="F320">
        <v>-168</v>
      </c>
      <c r="G320" t="s">
        <v>143</v>
      </c>
    </row>
    <row r="321" spans="1:7" x14ac:dyDescent="0.35">
      <c r="A321" t="s">
        <v>13</v>
      </c>
      <c r="B321" t="s">
        <v>74</v>
      </c>
      <c r="C321" t="s">
        <v>59</v>
      </c>
      <c r="D321">
        <v>2024</v>
      </c>
      <c r="E321" t="s">
        <v>144</v>
      </c>
      <c r="F321">
        <v>196</v>
      </c>
      <c r="G321" t="s">
        <v>143</v>
      </c>
    </row>
    <row r="322" spans="1:7" x14ac:dyDescent="0.35">
      <c r="A322" t="s">
        <v>13</v>
      </c>
      <c r="B322" t="s">
        <v>74</v>
      </c>
      <c r="C322" t="s">
        <v>59</v>
      </c>
      <c r="D322">
        <v>2025</v>
      </c>
      <c r="E322" t="s">
        <v>60</v>
      </c>
      <c r="F322">
        <v>60</v>
      </c>
      <c r="G322" t="s">
        <v>143</v>
      </c>
    </row>
    <row r="323" spans="1:7" x14ac:dyDescent="0.35">
      <c r="A323" t="s">
        <v>13</v>
      </c>
      <c r="B323" t="s">
        <v>74</v>
      </c>
      <c r="C323" t="s">
        <v>59</v>
      </c>
      <c r="D323">
        <v>2025</v>
      </c>
      <c r="E323" t="s">
        <v>61</v>
      </c>
      <c r="F323">
        <v>281</v>
      </c>
      <c r="G323" t="s">
        <v>143</v>
      </c>
    </row>
    <row r="324" spans="1:7" x14ac:dyDescent="0.35">
      <c r="A324" t="s">
        <v>13</v>
      </c>
      <c r="B324" t="s">
        <v>74</v>
      </c>
      <c r="C324" t="s">
        <v>59</v>
      </c>
      <c r="D324">
        <v>2025</v>
      </c>
      <c r="E324" t="s">
        <v>63</v>
      </c>
      <c r="F324">
        <v>12</v>
      </c>
      <c r="G324" t="s">
        <v>143</v>
      </c>
    </row>
    <row r="325" spans="1:7" x14ac:dyDescent="0.35">
      <c r="A325" t="s">
        <v>13</v>
      </c>
      <c r="B325" t="s">
        <v>74</v>
      </c>
      <c r="C325" t="s">
        <v>59</v>
      </c>
      <c r="D325">
        <v>2025</v>
      </c>
      <c r="E325" t="s">
        <v>144</v>
      </c>
      <c r="F325">
        <v>243</v>
      </c>
      <c r="G325" t="s">
        <v>143</v>
      </c>
    </row>
    <row r="326" spans="1:7" x14ac:dyDescent="0.35">
      <c r="A326" t="s">
        <v>13</v>
      </c>
      <c r="B326" t="s">
        <v>74</v>
      </c>
      <c r="C326" t="s">
        <v>59</v>
      </c>
      <c r="D326">
        <v>2026</v>
      </c>
      <c r="E326" t="s">
        <v>60</v>
      </c>
      <c r="F326">
        <v>139</v>
      </c>
      <c r="G326" t="s">
        <v>143</v>
      </c>
    </row>
    <row r="327" spans="1:7" x14ac:dyDescent="0.35">
      <c r="A327" t="s">
        <v>14</v>
      </c>
      <c r="B327" t="s">
        <v>75</v>
      </c>
      <c r="C327" t="s">
        <v>57</v>
      </c>
      <c r="D327">
        <v>2022</v>
      </c>
      <c r="E327" t="s">
        <v>60</v>
      </c>
      <c r="F327">
        <v>422</v>
      </c>
      <c r="G327" t="s">
        <v>143</v>
      </c>
    </row>
    <row r="328" spans="1:7" x14ac:dyDescent="0.35">
      <c r="A328" t="s">
        <v>14</v>
      </c>
      <c r="B328" t="s">
        <v>75</v>
      </c>
      <c r="C328" t="s">
        <v>57</v>
      </c>
      <c r="D328">
        <v>2022</v>
      </c>
      <c r="E328" t="s">
        <v>61</v>
      </c>
      <c r="F328">
        <v>599</v>
      </c>
      <c r="G328" t="s">
        <v>143</v>
      </c>
    </row>
    <row r="329" spans="1:7" x14ac:dyDescent="0.35">
      <c r="A329" t="s">
        <v>14</v>
      </c>
      <c r="B329" t="s">
        <v>75</v>
      </c>
      <c r="C329" t="s">
        <v>57</v>
      </c>
      <c r="D329">
        <v>2022</v>
      </c>
      <c r="E329" t="s">
        <v>63</v>
      </c>
      <c r="F329">
        <v>708</v>
      </c>
      <c r="G329" t="s">
        <v>143</v>
      </c>
    </row>
    <row r="330" spans="1:7" x14ac:dyDescent="0.35">
      <c r="A330" t="s">
        <v>14</v>
      </c>
      <c r="B330" t="s">
        <v>75</v>
      </c>
      <c r="C330" t="s">
        <v>57</v>
      </c>
      <c r="D330">
        <v>2022</v>
      </c>
      <c r="E330" t="s">
        <v>144</v>
      </c>
      <c r="F330">
        <v>600</v>
      </c>
      <c r="G330" t="s">
        <v>143</v>
      </c>
    </row>
    <row r="331" spans="1:7" x14ac:dyDescent="0.35">
      <c r="A331" t="s">
        <v>14</v>
      </c>
      <c r="B331" t="s">
        <v>75</v>
      </c>
      <c r="C331" t="s">
        <v>57</v>
      </c>
      <c r="D331">
        <v>2023</v>
      </c>
      <c r="E331" t="s">
        <v>60</v>
      </c>
      <c r="F331">
        <v>518</v>
      </c>
      <c r="G331" t="s">
        <v>143</v>
      </c>
    </row>
    <row r="332" spans="1:7" x14ac:dyDescent="0.35">
      <c r="A332" t="s">
        <v>14</v>
      </c>
      <c r="B332" t="s">
        <v>75</v>
      </c>
      <c r="C332" t="s">
        <v>57</v>
      </c>
      <c r="D332">
        <v>2023</v>
      </c>
      <c r="E332" t="s">
        <v>61</v>
      </c>
      <c r="F332">
        <v>582</v>
      </c>
      <c r="G332" t="s">
        <v>143</v>
      </c>
    </row>
    <row r="333" spans="1:7" x14ac:dyDescent="0.35">
      <c r="A333" t="s">
        <v>14</v>
      </c>
      <c r="B333" t="s">
        <v>75</v>
      </c>
      <c r="C333" t="s">
        <v>57</v>
      </c>
      <c r="D333">
        <v>2023</v>
      </c>
      <c r="E333" t="s">
        <v>63</v>
      </c>
      <c r="F333">
        <v>703</v>
      </c>
      <c r="G333" t="s">
        <v>143</v>
      </c>
    </row>
    <row r="334" spans="1:7" x14ac:dyDescent="0.35">
      <c r="A334" t="s">
        <v>14</v>
      </c>
      <c r="B334" t="s">
        <v>75</v>
      </c>
      <c r="C334" t="s">
        <v>57</v>
      </c>
      <c r="D334">
        <v>2023</v>
      </c>
      <c r="E334" t="s">
        <v>144</v>
      </c>
      <c r="F334">
        <v>694</v>
      </c>
      <c r="G334" t="s">
        <v>143</v>
      </c>
    </row>
    <row r="335" spans="1:7" x14ac:dyDescent="0.35">
      <c r="A335" t="s">
        <v>14</v>
      </c>
      <c r="B335" t="s">
        <v>75</v>
      </c>
      <c r="C335" t="s">
        <v>57</v>
      </c>
      <c r="D335">
        <v>2024</v>
      </c>
      <c r="E335" t="s">
        <v>60</v>
      </c>
      <c r="F335">
        <v>470</v>
      </c>
      <c r="G335" t="s">
        <v>143</v>
      </c>
    </row>
    <row r="336" spans="1:7" x14ac:dyDescent="0.35">
      <c r="A336" t="s">
        <v>14</v>
      </c>
      <c r="B336" t="s">
        <v>75</v>
      </c>
      <c r="C336" t="s">
        <v>57</v>
      </c>
      <c r="D336">
        <v>2024</v>
      </c>
      <c r="E336" t="s">
        <v>61</v>
      </c>
      <c r="F336">
        <v>495</v>
      </c>
      <c r="G336" t="s">
        <v>143</v>
      </c>
    </row>
    <row r="337" spans="1:7" x14ac:dyDescent="0.35">
      <c r="A337" t="s">
        <v>14</v>
      </c>
      <c r="B337" t="s">
        <v>75</v>
      </c>
      <c r="C337" t="s">
        <v>57</v>
      </c>
      <c r="D337">
        <v>2024</v>
      </c>
      <c r="E337" t="s">
        <v>63</v>
      </c>
      <c r="F337">
        <v>637</v>
      </c>
      <c r="G337" t="s">
        <v>143</v>
      </c>
    </row>
    <row r="338" spans="1:7" x14ac:dyDescent="0.35">
      <c r="A338" t="s">
        <v>14</v>
      </c>
      <c r="B338" t="s">
        <v>75</v>
      </c>
      <c r="C338" t="s">
        <v>57</v>
      </c>
      <c r="D338">
        <v>2024</v>
      </c>
      <c r="E338" t="s">
        <v>144</v>
      </c>
      <c r="F338">
        <v>514</v>
      </c>
      <c r="G338" t="s">
        <v>143</v>
      </c>
    </row>
    <row r="339" spans="1:7" x14ac:dyDescent="0.35">
      <c r="A339" t="s">
        <v>14</v>
      </c>
      <c r="B339" t="s">
        <v>75</v>
      </c>
      <c r="C339" t="s">
        <v>57</v>
      </c>
      <c r="D339">
        <v>2025</v>
      </c>
      <c r="E339" t="s">
        <v>60</v>
      </c>
      <c r="F339">
        <v>452</v>
      </c>
      <c r="G339" t="s">
        <v>143</v>
      </c>
    </row>
    <row r="340" spans="1:7" x14ac:dyDescent="0.35">
      <c r="A340" t="s">
        <v>14</v>
      </c>
      <c r="B340" t="s">
        <v>75</v>
      </c>
      <c r="C340" t="s">
        <v>57</v>
      </c>
      <c r="D340">
        <v>2025</v>
      </c>
      <c r="E340" t="s">
        <v>61</v>
      </c>
      <c r="F340">
        <v>450</v>
      </c>
      <c r="G340" t="s">
        <v>143</v>
      </c>
    </row>
    <row r="341" spans="1:7" x14ac:dyDescent="0.35">
      <c r="A341" t="s">
        <v>14</v>
      </c>
      <c r="B341" t="s">
        <v>75</v>
      </c>
      <c r="C341" t="s">
        <v>57</v>
      </c>
      <c r="D341">
        <v>2025</v>
      </c>
      <c r="E341" t="s">
        <v>63</v>
      </c>
      <c r="F341">
        <v>592</v>
      </c>
      <c r="G341" t="s">
        <v>143</v>
      </c>
    </row>
    <row r="342" spans="1:7" x14ac:dyDescent="0.35">
      <c r="A342" t="s">
        <v>14</v>
      </c>
      <c r="B342" t="s">
        <v>75</v>
      </c>
      <c r="C342" t="s">
        <v>57</v>
      </c>
      <c r="D342">
        <v>2025</v>
      </c>
      <c r="E342" t="s">
        <v>144</v>
      </c>
      <c r="F342">
        <v>528</v>
      </c>
      <c r="G342" t="s">
        <v>143</v>
      </c>
    </row>
    <row r="343" spans="1:7" x14ac:dyDescent="0.35">
      <c r="A343" t="s">
        <v>14</v>
      </c>
      <c r="B343" t="s">
        <v>75</v>
      </c>
      <c r="C343" t="s">
        <v>57</v>
      </c>
      <c r="D343">
        <v>2026</v>
      </c>
      <c r="E343" t="s">
        <v>60</v>
      </c>
      <c r="F343">
        <v>423</v>
      </c>
      <c r="G343" t="s">
        <v>143</v>
      </c>
    </row>
    <row r="344" spans="1:7" x14ac:dyDescent="0.35">
      <c r="A344" t="s">
        <v>14</v>
      </c>
      <c r="B344" t="s">
        <v>75</v>
      </c>
      <c r="C344" t="s">
        <v>58</v>
      </c>
      <c r="D344">
        <v>2022</v>
      </c>
      <c r="E344" t="s">
        <v>60</v>
      </c>
      <c r="F344">
        <v>51</v>
      </c>
      <c r="G344" t="s">
        <v>143</v>
      </c>
    </row>
    <row r="345" spans="1:7" x14ac:dyDescent="0.35">
      <c r="A345" t="s">
        <v>14</v>
      </c>
      <c r="B345" t="s">
        <v>75</v>
      </c>
      <c r="C345" t="s">
        <v>58</v>
      </c>
      <c r="D345">
        <v>2022</v>
      </c>
      <c r="E345" t="s">
        <v>61</v>
      </c>
      <c r="F345">
        <v>55</v>
      </c>
      <c r="G345" t="s">
        <v>143</v>
      </c>
    </row>
    <row r="346" spans="1:7" x14ac:dyDescent="0.35">
      <c r="A346" t="s">
        <v>14</v>
      </c>
      <c r="B346" t="s">
        <v>75</v>
      </c>
      <c r="C346" t="s">
        <v>58</v>
      </c>
      <c r="D346">
        <v>2022</v>
      </c>
      <c r="E346" t="s">
        <v>63</v>
      </c>
      <c r="F346">
        <v>60</v>
      </c>
      <c r="G346" t="s">
        <v>143</v>
      </c>
    </row>
    <row r="347" spans="1:7" x14ac:dyDescent="0.35">
      <c r="A347" t="s">
        <v>14</v>
      </c>
      <c r="B347" t="s">
        <v>75</v>
      </c>
      <c r="C347" t="s">
        <v>58</v>
      </c>
      <c r="D347">
        <v>2022</v>
      </c>
      <c r="E347" t="s">
        <v>144</v>
      </c>
      <c r="F347">
        <v>52</v>
      </c>
      <c r="G347" t="s">
        <v>143</v>
      </c>
    </row>
    <row r="348" spans="1:7" x14ac:dyDescent="0.35">
      <c r="A348" t="s">
        <v>14</v>
      </c>
      <c r="B348" t="s">
        <v>75</v>
      </c>
      <c r="C348" t="s">
        <v>58</v>
      </c>
      <c r="D348">
        <v>2023</v>
      </c>
      <c r="E348" t="s">
        <v>60</v>
      </c>
      <c r="F348">
        <v>42</v>
      </c>
      <c r="G348" t="s">
        <v>143</v>
      </c>
    </row>
    <row r="349" spans="1:7" x14ac:dyDescent="0.35">
      <c r="A349" t="s">
        <v>14</v>
      </c>
      <c r="B349" t="s">
        <v>75</v>
      </c>
      <c r="C349" t="s">
        <v>58</v>
      </c>
      <c r="D349">
        <v>2023</v>
      </c>
      <c r="E349" t="s">
        <v>61</v>
      </c>
      <c r="F349">
        <v>59</v>
      </c>
      <c r="G349" t="s">
        <v>143</v>
      </c>
    </row>
    <row r="350" spans="1:7" x14ac:dyDescent="0.35">
      <c r="A350" t="s">
        <v>14</v>
      </c>
      <c r="B350" t="s">
        <v>75</v>
      </c>
      <c r="C350" t="s">
        <v>58</v>
      </c>
      <c r="D350">
        <v>2023</v>
      </c>
      <c r="E350" t="s">
        <v>63</v>
      </c>
      <c r="F350">
        <v>43</v>
      </c>
      <c r="G350" t="s">
        <v>143</v>
      </c>
    </row>
    <row r="351" spans="1:7" x14ac:dyDescent="0.35">
      <c r="A351" t="s">
        <v>14</v>
      </c>
      <c r="B351" t="s">
        <v>75</v>
      </c>
      <c r="C351" t="s">
        <v>58</v>
      </c>
      <c r="D351">
        <v>2023</v>
      </c>
      <c r="E351" t="s">
        <v>144</v>
      </c>
      <c r="F351">
        <v>385</v>
      </c>
      <c r="G351" t="s">
        <v>143</v>
      </c>
    </row>
    <row r="352" spans="1:7" x14ac:dyDescent="0.35">
      <c r="A352" t="s">
        <v>14</v>
      </c>
      <c r="B352" t="s">
        <v>75</v>
      </c>
      <c r="C352" t="s">
        <v>58</v>
      </c>
      <c r="D352">
        <v>2024</v>
      </c>
      <c r="E352" t="s">
        <v>60</v>
      </c>
      <c r="F352">
        <v>72</v>
      </c>
      <c r="G352" t="s">
        <v>143</v>
      </c>
    </row>
    <row r="353" spans="1:7" x14ac:dyDescent="0.35">
      <c r="A353" t="s">
        <v>14</v>
      </c>
      <c r="B353" t="s">
        <v>75</v>
      </c>
      <c r="C353" t="s">
        <v>58</v>
      </c>
      <c r="D353">
        <v>2024</v>
      </c>
      <c r="E353" t="s">
        <v>61</v>
      </c>
      <c r="F353">
        <v>52</v>
      </c>
      <c r="G353" t="s">
        <v>143</v>
      </c>
    </row>
    <row r="354" spans="1:7" x14ac:dyDescent="0.35">
      <c r="A354" t="s">
        <v>14</v>
      </c>
      <c r="B354" t="s">
        <v>75</v>
      </c>
      <c r="C354" t="s">
        <v>58</v>
      </c>
      <c r="D354">
        <v>2024</v>
      </c>
      <c r="E354" t="s">
        <v>63</v>
      </c>
      <c r="F354">
        <v>31</v>
      </c>
      <c r="G354" t="s">
        <v>143</v>
      </c>
    </row>
    <row r="355" spans="1:7" x14ac:dyDescent="0.35">
      <c r="A355" t="s">
        <v>14</v>
      </c>
      <c r="B355" t="s">
        <v>75</v>
      </c>
      <c r="C355" t="s">
        <v>58</v>
      </c>
      <c r="D355">
        <v>2024</v>
      </c>
      <c r="E355" t="s">
        <v>144</v>
      </c>
      <c r="F355">
        <v>106</v>
      </c>
      <c r="G355" t="s">
        <v>143</v>
      </c>
    </row>
    <row r="356" spans="1:7" x14ac:dyDescent="0.35">
      <c r="A356" t="s">
        <v>14</v>
      </c>
      <c r="B356" t="s">
        <v>75</v>
      </c>
      <c r="C356" t="s">
        <v>58</v>
      </c>
      <c r="D356">
        <v>2025</v>
      </c>
      <c r="E356" t="s">
        <v>60</v>
      </c>
      <c r="F356">
        <v>37</v>
      </c>
      <c r="G356" t="s">
        <v>143</v>
      </c>
    </row>
    <row r="357" spans="1:7" x14ac:dyDescent="0.35">
      <c r="A357" t="s">
        <v>14</v>
      </c>
      <c r="B357" t="s">
        <v>75</v>
      </c>
      <c r="C357" t="s">
        <v>58</v>
      </c>
      <c r="D357">
        <v>2025</v>
      </c>
      <c r="E357" t="s">
        <v>61</v>
      </c>
      <c r="F357">
        <v>26</v>
      </c>
      <c r="G357" t="s">
        <v>143</v>
      </c>
    </row>
    <row r="358" spans="1:7" x14ac:dyDescent="0.35">
      <c r="A358" t="s">
        <v>14</v>
      </c>
      <c r="B358" t="s">
        <v>75</v>
      </c>
      <c r="C358" t="s">
        <v>58</v>
      </c>
      <c r="D358">
        <v>2025</v>
      </c>
      <c r="E358" t="s">
        <v>63</v>
      </c>
      <c r="F358">
        <v>-14</v>
      </c>
      <c r="G358" t="s">
        <v>143</v>
      </c>
    </row>
    <row r="359" spans="1:7" x14ac:dyDescent="0.35">
      <c r="A359" t="s">
        <v>14</v>
      </c>
      <c r="B359" t="s">
        <v>75</v>
      </c>
      <c r="C359" t="s">
        <v>58</v>
      </c>
      <c r="D359">
        <v>2025</v>
      </c>
      <c r="E359" t="s">
        <v>144</v>
      </c>
      <c r="F359">
        <v>39</v>
      </c>
      <c r="G359" t="s">
        <v>143</v>
      </c>
    </row>
    <row r="360" spans="1:7" x14ac:dyDescent="0.35">
      <c r="A360" t="s">
        <v>14</v>
      </c>
      <c r="B360" t="s">
        <v>75</v>
      </c>
      <c r="C360" t="s">
        <v>58</v>
      </c>
      <c r="D360">
        <v>2026</v>
      </c>
      <c r="E360" t="s">
        <v>60</v>
      </c>
      <c r="F360">
        <v>37</v>
      </c>
      <c r="G360" t="s">
        <v>143</v>
      </c>
    </row>
    <row r="361" spans="1:7" x14ac:dyDescent="0.35">
      <c r="A361" t="s">
        <v>14</v>
      </c>
      <c r="B361" t="s">
        <v>75</v>
      </c>
      <c r="C361" t="s">
        <v>59</v>
      </c>
      <c r="D361">
        <v>2022</v>
      </c>
      <c r="E361" t="s">
        <v>60</v>
      </c>
      <c r="F361">
        <v>558</v>
      </c>
      <c r="G361" t="s">
        <v>143</v>
      </c>
    </row>
    <row r="362" spans="1:7" x14ac:dyDescent="0.35">
      <c r="A362" t="s">
        <v>14</v>
      </c>
      <c r="B362" t="s">
        <v>75</v>
      </c>
      <c r="C362" t="s">
        <v>59</v>
      </c>
      <c r="D362">
        <v>2022</v>
      </c>
      <c r="E362" t="s">
        <v>61</v>
      </c>
      <c r="F362">
        <v>586</v>
      </c>
      <c r="G362" t="s">
        <v>143</v>
      </c>
    </row>
    <row r="363" spans="1:7" x14ac:dyDescent="0.35">
      <c r="A363" t="s">
        <v>14</v>
      </c>
      <c r="B363" t="s">
        <v>75</v>
      </c>
      <c r="C363" t="s">
        <v>59</v>
      </c>
      <c r="D363">
        <v>2022</v>
      </c>
      <c r="E363" t="s">
        <v>63</v>
      </c>
      <c r="F363">
        <v>756</v>
      </c>
      <c r="G363" t="s">
        <v>143</v>
      </c>
    </row>
    <row r="364" spans="1:7" x14ac:dyDescent="0.35">
      <c r="A364" t="s">
        <v>14</v>
      </c>
      <c r="B364" t="s">
        <v>75</v>
      </c>
      <c r="C364" t="s">
        <v>59</v>
      </c>
      <c r="D364">
        <v>2022</v>
      </c>
      <c r="E364" t="s">
        <v>144</v>
      </c>
      <c r="F364">
        <v>739</v>
      </c>
      <c r="G364" t="s">
        <v>143</v>
      </c>
    </row>
    <row r="365" spans="1:7" x14ac:dyDescent="0.35">
      <c r="A365" t="s">
        <v>14</v>
      </c>
      <c r="B365" t="s">
        <v>75</v>
      </c>
      <c r="C365" t="s">
        <v>59</v>
      </c>
      <c r="D365">
        <v>2023</v>
      </c>
      <c r="E365" t="s">
        <v>60</v>
      </c>
      <c r="F365">
        <v>875</v>
      </c>
      <c r="G365" t="s">
        <v>143</v>
      </c>
    </row>
    <row r="366" spans="1:7" x14ac:dyDescent="0.35">
      <c r="A366" t="s">
        <v>14</v>
      </c>
      <c r="B366" t="s">
        <v>75</v>
      </c>
      <c r="C366" t="s">
        <v>59</v>
      </c>
      <c r="D366">
        <v>2023</v>
      </c>
      <c r="E366" t="s">
        <v>61</v>
      </c>
      <c r="F366">
        <v>954</v>
      </c>
      <c r="G366" t="s">
        <v>143</v>
      </c>
    </row>
    <row r="367" spans="1:7" x14ac:dyDescent="0.35">
      <c r="A367" t="s">
        <v>14</v>
      </c>
      <c r="B367" t="s">
        <v>75</v>
      </c>
      <c r="C367" t="s">
        <v>59</v>
      </c>
      <c r="D367">
        <v>2023</v>
      </c>
      <c r="E367" t="s">
        <v>63</v>
      </c>
      <c r="F367">
        <v>1262</v>
      </c>
      <c r="G367" t="s">
        <v>143</v>
      </c>
    </row>
    <row r="368" spans="1:7" x14ac:dyDescent="0.35">
      <c r="A368" t="s">
        <v>14</v>
      </c>
      <c r="B368" t="s">
        <v>75</v>
      </c>
      <c r="C368" t="s">
        <v>59</v>
      </c>
      <c r="D368">
        <v>2023</v>
      </c>
      <c r="E368" t="s">
        <v>144</v>
      </c>
      <c r="F368">
        <v>1102</v>
      </c>
      <c r="G368" t="s">
        <v>143</v>
      </c>
    </row>
    <row r="369" spans="1:7" x14ac:dyDescent="0.35">
      <c r="A369" t="s">
        <v>14</v>
      </c>
      <c r="B369" t="s">
        <v>75</v>
      </c>
      <c r="C369" t="s">
        <v>59</v>
      </c>
      <c r="D369">
        <v>2024</v>
      </c>
      <c r="E369" t="s">
        <v>60</v>
      </c>
      <c r="F369">
        <v>1075</v>
      </c>
      <c r="G369" t="s">
        <v>143</v>
      </c>
    </row>
    <row r="370" spans="1:7" x14ac:dyDescent="0.35">
      <c r="A370" t="s">
        <v>14</v>
      </c>
      <c r="B370" t="s">
        <v>75</v>
      </c>
      <c r="C370" t="s">
        <v>59</v>
      </c>
      <c r="D370">
        <v>2024</v>
      </c>
      <c r="E370" t="s">
        <v>61</v>
      </c>
      <c r="F370">
        <v>710</v>
      </c>
      <c r="G370" t="s">
        <v>143</v>
      </c>
    </row>
    <row r="371" spans="1:7" x14ac:dyDescent="0.35">
      <c r="A371" t="s">
        <v>14</v>
      </c>
      <c r="B371" t="s">
        <v>75</v>
      </c>
      <c r="C371" t="s">
        <v>59</v>
      </c>
      <c r="D371">
        <v>2024</v>
      </c>
      <c r="E371" t="s">
        <v>63</v>
      </c>
      <c r="F371">
        <v>869</v>
      </c>
      <c r="G371" t="s">
        <v>143</v>
      </c>
    </row>
    <row r="372" spans="1:7" x14ac:dyDescent="0.35">
      <c r="A372" t="s">
        <v>14</v>
      </c>
      <c r="B372" t="s">
        <v>75</v>
      </c>
      <c r="C372" t="s">
        <v>59</v>
      </c>
      <c r="D372">
        <v>2024</v>
      </c>
      <c r="E372" t="s">
        <v>144</v>
      </c>
      <c r="F372">
        <v>850</v>
      </c>
      <c r="G372" t="s">
        <v>143</v>
      </c>
    </row>
    <row r="373" spans="1:7" x14ac:dyDescent="0.35">
      <c r="A373" t="s">
        <v>14</v>
      </c>
      <c r="B373" t="s">
        <v>75</v>
      </c>
      <c r="C373" t="s">
        <v>59</v>
      </c>
      <c r="D373">
        <v>2025</v>
      </c>
      <c r="E373" t="s">
        <v>60</v>
      </c>
      <c r="F373">
        <v>950</v>
      </c>
      <c r="G373" t="s">
        <v>143</v>
      </c>
    </row>
    <row r="374" spans="1:7" x14ac:dyDescent="0.35">
      <c r="A374" t="s">
        <v>14</v>
      </c>
      <c r="B374" t="s">
        <v>75</v>
      </c>
      <c r="C374" t="s">
        <v>59</v>
      </c>
      <c r="D374">
        <v>2025</v>
      </c>
      <c r="E374" t="s">
        <v>61</v>
      </c>
      <c r="F374">
        <v>938</v>
      </c>
      <c r="G374" t="s">
        <v>143</v>
      </c>
    </row>
    <row r="375" spans="1:7" x14ac:dyDescent="0.35">
      <c r="A375" t="s">
        <v>14</v>
      </c>
      <c r="B375" t="s">
        <v>75</v>
      </c>
      <c r="C375" t="s">
        <v>59</v>
      </c>
      <c r="D375">
        <v>2025</v>
      </c>
      <c r="E375" t="s">
        <v>63</v>
      </c>
      <c r="F375">
        <v>885</v>
      </c>
      <c r="G375" t="s">
        <v>143</v>
      </c>
    </row>
    <row r="376" spans="1:7" x14ac:dyDescent="0.35">
      <c r="A376" t="s">
        <v>14</v>
      </c>
      <c r="B376" t="s">
        <v>75</v>
      </c>
      <c r="C376" t="s">
        <v>59</v>
      </c>
      <c r="D376">
        <v>2025</v>
      </c>
      <c r="E376" t="s">
        <v>144</v>
      </c>
      <c r="F376">
        <v>828</v>
      </c>
      <c r="G376" t="s">
        <v>143</v>
      </c>
    </row>
    <row r="377" spans="1:7" x14ac:dyDescent="0.35">
      <c r="A377" t="s">
        <v>14</v>
      </c>
      <c r="B377" t="s">
        <v>75</v>
      </c>
      <c r="C377" t="s">
        <v>59</v>
      </c>
      <c r="D377">
        <v>2026</v>
      </c>
      <c r="E377" t="s">
        <v>60</v>
      </c>
      <c r="F377">
        <v>929</v>
      </c>
      <c r="G377" t="s">
        <v>143</v>
      </c>
    </row>
    <row r="378" spans="1:7" x14ac:dyDescent="0.35">
      <c r="A378" t="s">
        <v>15</v>
      </c>
      <c r="B378" t="s">
        <v>76</v>
      </c>
      <c r="C378" t="s">
        <v>57</v>
      </c>
      <c r="D378">
        <v>2022</v>
      </c>
      <c r="E378" t="s">
        <v>60</v>
      </c>
      <c r="F378">
        <v>496</v>
      </c>
      <c r="G378" t="s">
        <v>143</v>
      </c>
    </row>
    <row r="379" spans="1:7" x14ac:dyDescent="0.35">
      <c r="A379" t="s">
        <v>15</v>
      </c>
      <c r="B379" t="s">
        <v>76</v>
      </c>
      <c r="C379" t="s">
        <v>57</v>
      </c>
      <c r="D379">
        <v>2022</v>
      </c>
      <c r="E379" t="s">
        <v>61</v>
      </c>
      <c r="F379">
        <v>602</v>
      </c>
      <c r="G379" t="s">
        <v>143</v>
      </c>
    </row>
    <row r="380" spans="1:7" x14ac:dyDescent="0.35">
      <c r="A380" t="s">
        <v>15</v>
      </c>
      <c r="B380" t="s">
        <v>76</v>
      </c>
      <c r="C380" t="s">
        <v>57</v>
      </c>
      <c r="D380">
        <v>2022</v>
      </c>
      <c r="E380" t="s">
        <v>63</v>
      </c>
      <c r="F380">
        <v>995</v>
      </c>
      <c r="G380" t="s">
        <v>143</v>
      </c>
    </row>
    <row r="381" spans="1:7" x14ac:dyDescent="0.35">
      <c r="A381" t="s">
        <v>15</v>
      </c>
      <c r="B381" t="s">
        <v>76</v>
      </c>
      <c r="C381" t="s">
        <v>57</v>
      </c>
      <c r="D381">
        <v>2022</v>
      </c>
      <c r="E381" t="s">
        <v>144</v>
      </c>
      <c r="F381">
        <v>820</v>
      </c>
      <c r="G381" t="s">
        <v>143</v>
      </c>
    </row>
    <row r="382" spans="1:7" x14ac:dyDescent="0.35">
      <c r="A382" t="s">
        <v>15</v>
      </c>
      <c r="B382" t="s">
        <v>76</v>
      </c>
      <c r="C382" t="s">
        <v>57</v>
      </c>
      <c r="D382">
        <v>2023</v>
      </c>
      <c r="E382" t="s">
        <v>60</v>
      </c>
      <c r="F382">
        <v>466</v>
      </c>
      <c r="G382" t="s">
        <v>143</v>
      </c>
    </row>
    <row r="383" spans="1:7" x14ac:dyDescent="0.35">
      <c r="A383" t="s">
        <v>15</v>
      </c>
      <c r="B383" t="s">
        <v>76</v>
      </c>
      <c r="C383" t="s">
        <v>57</v>
      </c>
      <c r="D383">
        <v>2023</v>
      </c>
      <c r="E383" t="s">
        <v>61</v>
      </c>
      <c r="F383">
        <v>747</v>
      </c>
      <c r="G383" t="s">
        <v>143</v>
      </c>
    </row>
    <row r="384" spans="1:7" x14ac:dyDescent="0.35">
      <c r="A384" t="s">
        <v>15</v>
      </c>
      <c r="B384" t="s">
        <v>76</v>
      </c>
      <c r="C384" t="s">
        <v>57</v>
      </c>
      <c r="D384">
        <v>2023</v>
      </c>
      <c r="E384" t="s">
        <v>63</v>
      </c>
      <c r="F384">
        <v>973</v>
      </c>
      <c r="G384" t="s">
        <v>143</v>
      </c>
    </row>
    <row r="385" spans="1:7" x14ac:dyDescent="0.35">
      <c r="A385" t="s">
        <v>15</v>
      </c>
      <c r="B385" t="s">
        <v>76</v>
      </c>
      <c r="C385" t="s">
        <v>57</v>
      </c>
      <c r="D385">
        <v>2023</v>
      </c>
      <c r="E385" t="s">
        <v>144</v>
      </c>
      <c r="F385">
        <v>745</v>
      </c>
      <c r="G385" t="s">
        <v>143</v>
      </c>
    </row>
    <row r="386" spans="1:7" x14ac:dyDescent="0.35">
      <c r="A386" t="s">
        <v>15</v>
      </c>
      <c r="B386" t="s">
        <v>76</v>
      </c>
      <c r="C386" t="s">
        <v>57</v>
      </c>
      <c r="D386">
        <v>2024</v>
      </c>
      <c r="E386" t="s">
        <v>60</v>
      </c>
      <c r="F386">
        <v>362</v>
      </c>
      <c r="G386" t="s">
        <v>143</v>
      </c>
    </row>
    <row r="387" spans="1:7" x14ac:dyDescent="0.35">
      <c r="A387" t="s">
        <v>15</v>
      </c>
      <c r="B387" t="s">
        <v>76</v>
      </c>
      <c r="C387" t="s">
        <v>57</v>
      </c>
      <c r="D387">
        <v>2024</v>
      </c>
      <c r="E387" t="s">
        <v>61</v>
      </c>
      <c r="F387">
        <v>756</v>
      </c>
      <c r="G387" t="s">
        <v>143</v>
      </c>
    </row>
    <row r="388" spans="1:7" x14ac:dyDescent="0.35">
      <c r="A388" t="s">
        <v>15</v>
      </c>
      <c r="B388" t="s">
        <v>76</v>
      </c>
      <c r="C388" t="s">
        <v>57</v>
      </c>
      <c r="D388">
        <v>2024</v>
      </c>
      <c r="E388" t="s">
        <v>63</v>
      </c>
      <c r="F388">
        <v>918</v>
      </c>
      <c r="G388" t="s">
        <v>143</v>
      </c>
    </row>
    <row r="389" spans="1:7" x14ac:dyDescent="0.35">
      <c r="A389" t="s">
        <v>15</v>
      </c>
      <c r="B389" t="s">
        <v>76</v>
      </c>
      <c r="C389" t="s">
        <v>57</v>
      </c>
      <c r="D389">
        <v>2024</v>
      </c>
      <c r="E389" t="s">
        <v>144</v>
      </c>
      <c r="F389">
        <v>826</v>
      </c>
      <c r="G389" t="s">
        <v>143</v>
      </c>
    </row>
    <row r="390" spans="1:7" x14ac:dyDescent="0.35">
      <c r="A390" t="s">
        <v>15</v>
      </c>
      <c r="B390" t="s">
        <v>76</v>
      </c>
      <c r="C390" t="s">
        <v>57</v>
      </c>
      <c r="D390">
        <v>2025</v>
      </c>
      <c r="E390" t="s">
        <v>60</v>
      </c>
      <c r="F390">
        <v>351</v>
      </c>
      <c r="G390" t="s">
        <v>143</v>
      </c>
    </row>
    <row r="391" spans="1:7" x14ac:dyDescent="0.35">
      <c r="A391" t="s">
        <v>15</v>
      </c>
      <c r="B391" t="s">
        <v>76</v>
      </c>
      <c r="C391" t="s">
        <v>57</v>
      </c>
      <c r="D391">
        <v>2025</v>
      </c>
      <c r="E391" t="s">
        <v>61</v>
      </c>
      <c r="F391">
        <v>830</v>
      </c>
      <c r="G391" t="s">
        <v>143</v>
      </c>
    </row>
    <row r="392" spans="1:7" x14ac:dyDescent="0.35">
      <c r="A392" t="s">
        <v>15</v>
      </c>
      <c r="B392" t="s">
        <v>76</v>
      </c>
      <c r="C392" t="s">
        <v>57</v>
      </c>
      <c r="D392">
        <v>2025</v>
      </c>
      <c r="E392" t="s">
        <v>63</v>
      </c>
      <c r="F392">
        <v>971</v>
      </c>
      <c r="G392" t="s">
        <v>143</v>
      </c>
    </row>
    <row r="393" spans="1:7" x14ac:dyDescent="0.35">
      <c r="A393" t="s">
        <v>15</v>
      </c>
      <c r="B393" t="s">
        <v>76</v>
      </c>
      <c r="C393" t="s">
        <v>57</v>
      </c>
      <c r="D393">
        <v>2025</v>
      </c>
      <c r="E393" t="s">
        <v>144</v>
      </c>
      <c r="F393">
        <v>930</v>
      </c>
      <c r="G393" t="s">
        <v>143</v>
      </c>
    </row>
    <row r="394" spans="1:7" x14ac:dyDescent="0.35">
      <c r="A394" t="s">
        <v>15</v>
      </c>
      <c r="B394" t="s">
        <v>76</v>
      </c>
      <c r="C394" t="s">
        <v>58</v>
      </c>
      <c r="D394">
        <v>2022</v>
      </c>
      <c r="E394" t="s">
        <v>60</v>
      </c>
      <c r="F394">
        <v>5</v>
      </c>
      <c r="G394" t="s">
        <v>143</v>
      </c>
    </row>
    <row r="395" spans="1:7" x14ac:dyDescent="0.35">
      <c r="A395" t="s">
        <v>15</v>
      </c>
      <c r="B395" t="s">
        <v>76</v>
      </c>
      <c r="C395" t="s">
        <v>58</v>
      </c>
      <c r="D395">
        <v>2022</v>
      </c>
      <c r="E395" t="s">
        <v>61</v>
      </c>
      <c r="F395">
        <v>12</v>
      </c>
      <c r="G395" t="s">
        <v>143</v>
      </c>
    </row>
    <row r="396" spans="1:7" x14ac:dyDescent="0.35">
      <c r="A396" t="s">
        <v>15</v>
      </c>
      <c r="B396" t="s">
        <v>76</v>
      </c>
      <c r="C396" t="s">
        <v>58</v>
      </c>
      <c r="D396">
        <v>2022</v>
      </c>
      <c r="E396" t="s">
        <v>63</v>
      </c>
      <c r="F396">
        <v>12</v>
      </c>
      <c r="G396" t="s">
        <v>143</v>
      </c>
    </row>
    <row r="397" spans="1:7" x14ac:dyDescent="0.35">
      <c r="A397" t="s">
        <v>15</v>
      </c>
      <c r="B397" t="s">
        <v>76</v>
      </c>
      <c r="C397" t="s">
        <v>58</v>
      </c>
      <c r="D397">
        <v>2022</v>
      </c>
      <c r="E397" t="s">
        <v>144</v>
      </c>
      <c r="F397">
        <v>39</v>
      </c>
      <c r="G397" t="s">
        <v>143</v>
      </c>
    </row>
    <row r="398" spans="1:7" x14ac:dyDescent="0.35">
      <c r="A398" t="s">
        <v>15</v>
      </c>
      <c r="B398" t="s">
        <v>76</v>
      </c>
      <c r="C398" t="s">
        <v>58</v>
      </c>
      <c r="D398">
        <v>2023</v>
      </c>
      <c r="E398" t="s">
        <v>60</v>
      </c>
      <c r="F398">
        <v>9</v>
      </c>
      <c r="G398" t="s">
        <v>143</v>
      </c>
    </row>
    <row r="399" spans="1:7" x14ac:dyDescent="0.35">
      <c r="A399" t="s">
        <v>15</v>
      </c>
      <c r="B399" t="s">
        <v>76</v>
      </c>
      <c r="C399" t="s">
        <v>58</v>
      </c>
      <c r="D399">
        <v>2023</v>
      </c>
      <c r="E399" t="s">
        <v>61</v>
      </c>
      <c r="F399">
        <v>88</v>
      </c>
      <c r="G399" t="s">
        <v>143</v>
      </c>
    </row>
    <row r="400" spans="1:7" x14ac:dyDescent="0.35">
      <c r="A400" t="s">
        <v>15</v>
      </c>
      <c r="B400" t="s">
        <v>76</v>
      </c>
      <c r="C400" t="s">
        <v>58</v>
      </c>
      <c r="D400">
        <v>2023</v>
      </c>
      <c r="E400" t="s">
        <v>63</v>
      </c>
      <c r="F400">
        <v>43</v>
      </c>
      <c r="G400" t="s">
        <v>143</v>
      </c>
    </row>
    <row r="401" spans="1:7" x14ac:dyDescent="0.35">
      <c r="A401" t="s">
        <v>15</v>
      </c>
      <c r="B401" t="s">
        <v>76</v>
      </c>
      <c r="C401" t="s">
        <v>58</v>
      </c>
      <c r="D401">
        <v>2023</v>
      </c>
      <c r="E401" t="s">
        <v>144</v>
      </c>
      <c r="F401">
        <v>55</v>
      </c>
      <c r="G401" t="s">
        <v>143</v>
      </c>
    </row>
    <row r="402" spans="1:7" x14ac:dyDescent="0.35">
      <c r="A402" t="s">
        <v>15</v>
      </c>
      <c r="B402" t="s">
        <v>76</v>
      </c>
      <c r="C402" t="s">
        <v>58</v>
      </c>
      <c r="D402">
        <v>2024</v>
      </c>
      <c r="E402" t="s">
        <v>60</v>
      </c>
      <c r="F402">
        <v>15</v>
      </c>
      <c r="G402" t="s">
        <v>143</v>
      </c>
    </row>
    <row r="403" spans="1:7" x14ac:dyDescent="0.35">
      <c r="A403" t="s">
        <v>15</v>
      </c>
      <c r="B403" t="s">
        <v>76</v>
      </c>
      <c r="C403" t="s">
        <v>58</v>
      </c>
      <c r="D403">
        <v>2024</v>
      </c>
      <c r="E403" t="s">
        <v>61</v>
      </c>
      <c r="F403">
        <v>38</v>
      </c>
      <c r="G403" t="s">
        <v>143</v>
      </c>
    </row>
    <row r="404" spans="1:7" x14ac:dyDescent="0.35">
      <c r="A404" t="s">
        <v>15</v>
      </c>
      <c r="B404" t="s">
        <v>76</v>
      </c>
      <c r="C404" t="s">
        <v>58</v>
      </c>
      <c r="D404">
        <v>2024</v>
      </c>
      <c r="E404" t="s">
        <v>63</v>
      </c>
      <c r="F404">
        <v>27</v>
      </c>
      <c r="G404" t="s">
        <v>143</v>
      </c>
    </row>
    <row r="405" spans="1:7" x14ac:dyDescent="0.35">
      <c r="A405" t="s">
        <v>15</v>
      </c>
      <c r="B405" t="s">
        <v>76</v>
      </c>
      <c r="C405" t="s">
        <v>58</v>
      </c>
      <c r="D405">
        <v>2024</v>
      </c>
      <c r="E405" t="s">
        <v>144</v>
      </c>
      <c r="F405">
        <v>34</v>
      </c>
      <c r="G405" t="s">
        <v>143</v>
      </c>
    </row>
    <row r="406" spans="1:7" x14ac:dyDescent="0.35">
      <c r="A406" t="s">
        <v>15</v>
      </c>
      <c r="B406" t="s">
        <v>76</v>
      </c>
      <c r="C406" t="s">
        <v>58</v>
      </c>
      <c r="D406">
        <v>2025</v>
      </c>
      <c r="E406" t="s">
        <v>60</v>
      </c>
      <c r="F406">
        <v>13</v>
      </c>
      <c r="G406" t="s">
        <v>143</v>
      </c>
    </row>
    <row r="407" spans="1:7" x14ac:dyDescent="0.35">
      <c r="A407" t="s">
        <v>15</v>
      </c>
      <c r="B407" t="s">
        <v>76</v>
      </c>
      <c r="C407" t="s">
        <v>58</v>
      </c>
      <c r="D407">
        <v>2025</v>
      </c>
      <c r="E407" t="s">
        <v>61</v>
      </c>
      <c r="F407">
        <v>37</v>
      </c>
      <c r="G407" t="s">
        <v>143</v>
      </c>
    </row>
    <row r="408" spans="1:7" x14ac:dyDescent="0.35">
      <c r="A408" t="s">
        <v>15</v>
      </c>
      <c r="B408" t="s">
        <v>76</v>
      </c>
      <c r="C408" t="s">
        <v>58</v>
      </c>
      <c r="D408">
        <v>2025</v>
      </c>
      <c r="E408" t="s">
        <v>63</v>
      </c>
      <c r="F408">
        <v>31</v>
      </c>
      <c r="G408" t="s">
        <v>143</v>
      </c>
    </row>
    <row r="409" spans="1:7" x14ac:dyDescent="0.35">
      <c r="A409" t="s">
        <v>15</v>
      </c>
      <c r="B409" t="s">
        <v>76</v>
      </c>
      <c r="C409" t="s">
        <v>58</v>
      </c>
      <c r="D409">
        <v>2025</v>
      </c>
      <c r="E409" t="s">
        <v>144</v>
      </c>
      <c r="F409">
        <v>20</v>
      </c>
      <c r="G409" t="s">
        <v>143</v>
      </c>
    </row>
    <row r="410" spans="1:7" x14ac:dyDescent="0.35">
      <c r="A410" t="s">
        <v>15</v>
      </c>
      <c r="B410" t="s">
        <v>76</v>
      </c>
      <c r="C410" t="s">
        <v>59</v>
      </c>
      <c r="D410">
        <v>2022</v>
      </c>
      <c r="E410" t="s">
        <v>60</v>
      </c>
      <c r="F410">
        <v>-737</v>
      </c>
      <c r="G410" t="s">
        <v>143</v>
      </c>
    </row>
    <row r="411" spans="1:7" x14ac:dyDescent="0.35">
      <c r="A411" t="s">
        <v>15</v>
      </c>
      <c r="B411" t="s">
        <v>76</v>
      </c>
      <c r="C411" t="s">
        <v>59</v>
      </c>
      <c r="D411">
        <v>2022</v>
      </c>
      <c r="E411" t="s">
        <v>61</v>
      </c>
      <c r="F411">
        <v>-760</v>
      </c>
      <c r="G411" t="s">
        <v>143</v>
      </c>
    </row>
    <row r="412" spans="1:7" x14ac:dyDescent="0.35">
      <c r="A412" t="s">
        <v>15</v>
      </c>
      <c r="B412" t="s">
        <v>76</v>
      </c>
      <c r="C412" t="s">
        <v>59</v>
      </c>
      <c r="D412">
        <v>2022</v>
      </c>
      <c r="E412" t="s">
        <v>63</v>
      </c>
      <c r="F412">
        <v>-511</v>
      </c>
      <c r="G412" t="s">
        <v>143</v>
      </c>
    </row>
    <row r="413" spans="1:7" x14ac:dyDescent="0.35">
      <c r="A413" t="s">
        <v>15</v>
      </c>
      <c r="B413" t="s">
        <v>76</v>
      </c>
      <c r="C413" t="s">
        <v>59</v>
      </c>
      <c r="D413">
        <v>2022</v>
      </c>
      <c r="E413" t="s">
        <v>144</v>
      </c>
      <c r="F413">
        <v>-841</v>
      </c>
      <c r="G413" t="s">
        <v>143</v>
      </c>
    </row>
    <row r="414" spans="1:7" x14ac:dyDescent="0.35">
      <c r="A414" t="s">
        <v>15</v>
      </c>
      <c r="B414" t="s">
        <v>76</v>
      </c>
      <c r="C414" t="s">
        <v>59</v>
      </c>
      <c r="D414">
        <v>2023</v>
      </c>
      <c r="E414" t="s">
        <v>60</v>
      </c>
      <c r="F414">
        <v>-874</v>
      </c>
      <c r="G414" t="s">
        <v>143</v>
      </c>
    </row>
    <row r="415" spans="1:7" x14ac:dyDescent="0.35">
      <c r="A415" t="s">
        <v>15</v>
      </c>
      <c r="B415" t="s">
        <v>76</v>
      </c>
      <c r="C415" t="s">
        <v>59</v>
      </c>
      <c r="D415">
        <v>2023</v>
      </c>
      <c r="E415" t="s">
        <v>61</v>
      </c>
      <c r="F415">
        <v>-319</v>
      </c>
      <c r="G415" t="s">
        <v>143</v>
      </c>
    </row>
    <row r="416" spans="1:7" x14ac:dyDescent="0.35">
      <c r="A416" t="s">
        <v>15</v>
      </c>
      <c r="B416" t="s">
        <v>76</v>
      </c>
      <c r="C416" t="s">
        <v>59</v>
      </c>
      <c r="D416">
        <v>2023</v>
      </c>
      <c r="E416" t="s">
        <v>63</v>
      </c>
      <c r="F416">
        <v>-834</v>
      </c>
      <c r="G416" t="s">
        <v>143</v>
      </c>
    </row>
    <row r="417" spans="1:7" x14ac:dyDescent="0.35">
      <c r="A417" t="s">
        <v>15</v>
      </c>
      <c r="B417" t="s">
        <v>76</v>
      </c>
      <c r="C417" t="s">
        <v>59</v>
      </c>
      <c r="D417">
        <v>2023</v>
      </c>
      <c r="E417" t="s">
        <v>144</v>
      </c>
      <c r="F417">
        <v>-941</v>
      </c>
      <c r="G417" t="s">
        <v>143</v>
      </c>
    </row>
    <row r="418" spans="1:7" x14ac:dyDescent="0.35">
      <c r="A418" t="s">
        <v>15</v>
      </c>
      <c r="B418" t="s">
        <v>76</v>
      </c>
      <c r="C418" t="s">
        <v>59</v>
      </c>
      <c r="D418">
        <v>2024</v>
      </c>
      <c r="E418" t="s">
        <v>60</v>
      </c>
      <c r="F418">
        <v>-821</v>
      </c>
      <c r="G418" t="s">
        <v>143</v>
      </c>
    </row>
    <row r="419" spans="1:7" x14ac:dyDescent="0.35">
      <c r="A419" t="s">
        <v>15</v>
      </c>
      <c r="B419" t="s">
        <v>76</v>
      </c>
      <c r="C419" t="s">
        <v>59</v>
      </c>
      <c r="D419">
        <v>2024</v>
      </c>
      <c r="E419" t="s">
        <v>61</v>
      </c>
      <c r="F419">
        <v>-365</v>
      </c>
      <c r="G419" t="s">
        <v>143</v>
      </c>
    </row>
    <row r="420" spans="1:7" x14ac:dyDescent="0.35">
      <c r="A420" t="s">
        <v>15</v>
      </c>
      <c r="B420" t="s">
        <v>76</v>
      </c>
      <c r="C420" t="s">
        <v>59</v>
      </c>
      <c r="D420">
        <v>2024</v>
      </c>
      <c r="E420" t="s">
        <v>63</v>
      </c>
      <c r="F420">
        <v>-558</v>
      </c>
      <c r="G420" t="s">
        <v>143</v>
      </c>
    </row>
    <row r="421" spans="1:7" x14ac:dyDescent="0.35">
      <c r="A421" t="s">
        <v>15</v>
      </c>
      <c r="B421" t="s">
        <v>76</v>
      </c>
      <c r="C421" t="s">
        <v>59</v>
      </c>
      <c r="D421">
        <v>2024</v>
      </c>
      <c r="E421" t="s">
        <v>144</v>
      </c>
      <c r="F421">
        <v>-556</v>
      </c>
      <c r="G421" t="s">
        <v>143</v>
      </c>
    </row>
    <row r="422" spans="1:7" x14ac:dyDescent="0.35">
      <c r="A422" t="s">
        <v>15</v>
      </c>
      <c r="B422" t="s">
        <v>76</v>
      </c>
      <c r="C422" t="s">
        <v>59</v>
      </c>
      <c r="D422">
        <v>2025</v>
      </c>
      <c r="E422" t="s">
        <v>60</v>
      </c>
      <c r="F422">
        <v>-390</v>
      </c>
      <c r="G422" t="s">
        <v>143</v>
      </c>
    </row>
    <row r="423" spans="1:7" x14ac:dyDescent="0.35">
      <c r="A423" t="s">
        <v>15</v>
      </c>
      <c r="B423" t="s">
        <v>76</v>
      </c>
      <c r="C423" t="s">
        <v>59</v>
      </c>
      <c r="D423">
        <v>2025</v>
      </c>
      <c r="E423" t="s">
        <v>61</v>
      </c>
      <c r="F423">
        <v>-253</v>
      </c>
      <c r="G423" t="s">
        <v>143</v>
      </c>
    </row>
    <row r="424" spans="1:7" x14ac:dyDescent="0.35">
      <c r="A424" t="s">
        <v>15</v>
      </c>
      <c r="B424" t="s">
        <v>76</v>
      </c>
      <c r="C424" t="s">
        <v>59</v>
      </c>
      <c r="D424">
        <v>2025</v>
      </c>
      <c r="E424" t="s">
        <v>63</v>
      </c>
      <c r="F424">
        <v>-446</v>
      </c>
      <c r="G424" t="s">
        <v>143</v>
      </c>
    </row>
    <row r="425" spans="1:7" x14ac:dyDescent="0.35">
      <c r="A425" t="s">
        <v>15</v>
      </c>
      <c r="B425" t="s">
        <v>76</v>
      </c>
      <c r="C425" t="s">
        <v>59</v>
      </c>
      <c r="D425">
        <v>2025</v>
      </c>
      <c r="E425" t="s">
        <v>144</v>
      </c>
      <c r="F425">
        <v>-593</v>
      </c>
      <c r="G425" t="s">
        <v>143</v>
      </c>
    </row>
    <row r="426" spans="1:7" x14ac:dyDescent="0.35">
      <c r="A426" t="s">
        <v>16</v>
      </c>
      <c r="B426" t="s">
        <v>77</v>
      </c>
      <c r="C426" t="s">
        <v>57</v>
      </c>
      <c r="D426">
        <v>2022</v>
      </c>
      <c r="E426" t="s">
        <v>60</v>
      </c>
      <c r="F426">
        <v>343</v>
      </c>
      <c r="G426" t="s">
        <v>143</v>
      </c>
    </row>
    <row r="427" spans="1:7" x14ac:dyDescent="0.35">
      <c r="A427" t="s">
        <v>16</v>
      </c>
      <c r="B427" t="s">
        <v>77</v>
      </c>
      <c r="C427" t="s">
        <v>57</v>
      </c>
      <c r="D427">
        <v>2022</v>
      </c>
      <c r="E427" t="s">
        <v>61</v>
      </c>
      <c r="F427">
        <v>527</v>
      </c>
      <c r="G427" t="s">
        <v>143</v>
      </c>
    </row>
    <row r="428" spans="1:7" x14ac:dyDescent="0.35">
      <c r="A428" t="s">
        <v>16</v>
      </c>
      <c r="B428" t="s">
        <v>77</v>
      </c>
      <c r="C428" t="s">
        <v>57</v>
      </c>
      <c r="D428">
        <v>2022</v>
      </c>
      <c r="E428" t="s">
        <v>63</v>
      </c>
      <c r="F428">
        <v>285</v>
      </c>
      <c r="G428" t="s">
        <v>143</v>
      </c>
    </row>
    <row r="429" spans="1:7" x14ac:dyDescent="0.35">
      <c r="A429" t="s">
        <v>16</v>
      </c>
      <c r="B429" t="s">
        <v>77</v>
      </c>
      <c r="C429" t="s">
        <v>57</v>
      </c>
      <c r="D429">
        <v>2022</v>
      </c>
      <c r="E429" t="s">
        <v>144</v>
      </c>
      <c r="F429">
        <v>559</v>
      </c>
      <c r="G429" t="s">
        <v>143</v>
      </c>
    </row>
    <row r="430" spans="1:7" x14ac:dyDescent="0.35">
      <c r="A430" t="s">
        <v>16</v>
      </c>
      <c r="B430" t="s">
        <v>77</v>
      </c>
      <c r="C430" t="s">
        <v>57</v>
      </c>
      <c r="D430">
        <v>2023</v>
      </c>
      <c r="E430" t="s">
        <v>60</v>
      </c>
      <c r="F430">
        <v>521</v>
      </c>
      <c r="G430" t="s">
        <v>143</v>
      </c>
    </row>
    <row r="431" spans="1:7" x14ac:dyDescent="0.35">
      <c r="A431" t="s">
        <v>16</v>
      </c>
      <c r="B431" t="s">
        <v>77</v>
      </c>
      <c r="C431" t="s">
        <v>57</v>
      </c>
      <c r="D431">
        <v>2023</v>
      </c>
      <c r="E431" t="s">
        <v>61</v>
      </c>
      <c r="F431">
        <v>514</v>
      </c>
      <c r="G431" t="s">
        <v>143</v>
      </c>
    </row>
    <row r="432" spans="1:7" x14ac:dyDescent="0.35">
      <c r="A432" t="s">
        <v>16</v>
      </c>
      <c r="B432" t="s">
        <v>77</v>
      </c>
      <c r="C432" t="s">
        <v>57</v>
      </c>
      <c r="D432">
        <v>2023</v>
      </c>
      <c r="E432" t="s">
        <v>63</v>
      </c>
      <c r="F432">
        <v>383</v>
      </c>
      <c r="G432" t="s">
        <v>143</v>
      </c>
    </row>
    <row r="433" spans="1:7" x14ac:dyDescent="0.35">
      <c r="A433" t="s">
        <v>16</v>
      </c>
      <c r="B433" t="s">
        <v>77</v>
      </c>
      <c r="C433" t="s">
        <v>57</v>
      </c>
      <c r="D433">
        <v>2023</v>
      </c>
      <c r="E433" t="s">
        <v>144</v>
      </c>
      <c r="F433">
        <v>902</v>
      </c>
      <c r="G433" t="s">
        <v>143</v>
      </c>
    </row>
    <row r="434" spans="1:7" x14ac:dyDescent="0.35">
      <c r="A434" t="s">
        <v>16</v>
      </c>
      <c r="B434" t="s">
        <v>77</v>
      </c>
      <c r="C434" t="s">
        <v>57</v>
      </c>
      <c r="D434">
        <v>2024</v>
      </c>
      <c r="E434" t="s">
        <v>60</v>
      </c>
      <c r="F434">
        <v>603</v>
      </c>
      <c r="G434" t="s">
        <v>143</v>
      </c>
    </row>
    <row r="435" spans="1:7" x14ac:dyDescent="0.35">
      <c r="A435" t="s">
        <v>16</v>
      </c>
      <c r="B435" t="s">
        <v>77</v>
      </c>
      <c r="C435" t="s">
        <v>57</v>
      </c>
      <c r="D435">
        <v>2024</v>
      </c>
      <c r="E435" t="s">
        <v>61</v>
      </c>
      <c r="F435">
        <v>849</v>
      </c>
      <c r="G435" t="s">
        <v>143</v>
      </c>
    </row>
    <row r="436" spans="1:7" x14ac:dyDescent="0.35">
      <c r="A436" t="s">
        <v>16</v>
      </c>
      <c r="B436" t="s">
        <v>77</v>
      </c>
      <c r="C436" t="s">
        <v>57</v>
      </c>
      <c r="D436">
        <v>2024</v>
      </c>
      <c r="E436" t="s">
        <v>63</v>
      </c>
      <c r="F436">
        <v>383</v>
      </c>
      <c r="G436" t="s">
        <v>143</v>
      </c>
    </row>
    <row r="437" spans="1:7" x14ac:dyDescent="0.35">
      <c r="A437" t="s">
        <v>16</v>
      </c>
      <c r="B437" t="s">
        <v>77</v>
      </c>
      <c r="C437" t="s">
        <v>57</v>
      </c>
      <c r="D437">
        <v>2024</v>
      </c>
      <c r="E437" t="s">
        <v>144</v>
      </c>
      <c r="F437">
        <v>838</v>
      </c>
      <c r="G437" t="s">
        <v>143</v>
      </c>
    </row>
    <row r="438" spans="1:7" x14ac:dyDescent="0.35">
      <c r="A438" t="s">
        <v>16</v>
      </c>
      <c r="B438" t="s">
        <v>77</v>
      </c>
      <c r="C438" t="s">
        <v>57</v>
      </c>
      <c r="D438">
        <v>2025</v>
      </c>
      <c r="E438" t="s">
        <v>60</v>
      </c>
      <c r="F438">
        <v>735</v>
      </c>
      <c r="G438" t="s">
        <v>143</v>
      </c>
    </row>
    <row r="439" spans="1:7" x14ac:dyDescent="0.35">
      <c r="A439" t="s">
        <v>16</v>
      </c>
      <c r="B439" t="s">
        <v>77</v>
      </c>
      <c r="C439" t="s">
        <v>57</v>
      </c>
      <c r="D439">
        <v>2025</v>
      </c>
      <c r="E439" t="s">
        <v>61</v>
      </c>
      <c r="F439">
        <v>789</v>
      </c>
      <c r="G439" t="s">
        <v>143</v>
      </c>
    </row>
    <row r="440" spans="1:7" x14ac:dyDescent="0.35">
      <c r="A440" t="s">
        <v>16</v>
      </c>
      <c r="B440" t="s">
        <v>77</v>
      </c>
      <c r="C440" t="s">
        <v>57</v>
      </c>
      <c r="D440">
        <v>2025</v>
      </c>
      <c r="E440" t="s">
        <v>63</v>
      </c>
      <c r="F440">
        <v>854</v>
      </c>
      <c r="G440" t="s">
        <v>143</v>
      </c>
    </row>
    <row r="441" spans="1:7" x14ac:dyDescent="0.35">
      <c r="A441" t="s">
        <v>16</v>
      </c>
      <c r="B441" t="s">
        <v>77</v>
      </c>
      <c r="C441" t="s">
        <v>57</v>
      </c>
      <c r="D441">
        <v>2025</v>
      </c>
      <c r="E441" t="s">
        <v>144</v>
      </c>
      <c r="F441">
        <v>1343</v>
      </c>
      <c r="G441" t="s">
        <v>143</v>
      </c>
    </row>
    <row r="442" spans="1:7" x14ac:dyDescent="0.35">
      <c r="A442" t="s">
        <v>16</v>
      </c>
      <c r="B442" t="s">
        <v>77</v>
      </c>
      <c r="C442" t="s">
        <v>57</v>
      </c>
      <c r="D442">
        <v>2026</v>
      </c>
      <c r="E442" t="s">
        <v>60</v>
      </c>
      <c r="F442">
        <v>771.92</v>
      </c>
      <c r="G442" t="s">
        <v>143</v>
      </c>
    </row>
    <row r="443" spans="1:7" x14ac:dyDescent="0.35">
      <c r="A443" t="s">
        <v>16</v>
      </c>
      <c r="B443" t="s">
        <v>77</v>
      </c>
      <c r="C443" t="s">
        <v>58</v>
      </c>
      <c r="D443">
        <v>2022</v>
      </c>
      <c r="E443" t="s">
        <v>60</v>
      </c>
      <c r="F443">
        <v>6</v>
      </c>
      <c r="G443" t="s">
        <v>143</v>
      </c>
    </row>
    <row r="444" spans="1:7" x14ac:dyDescent="0.35">
      <c r="A444" t="s">
        <v>16</v>
      </c>
      <c r="B444" t="s">
        <v>77</v>
      </c>
      <c r="C444" t="s">
        <v>58</v>
      </c>
      <c r="D444">
        <v>2022</v>
      </c>
      <c r="E444" t="s">
        <v>61</v>
      </c>
      <c r="F444">
        <v>4</v>
      </c>
      <c r="G444" t="s">
        <v>143</v>
      </c>
    </row>
    <row r="445" spans="1:7" x14ac:dyDescent="0.35">
      <c r="A445" t="s">
        <v>16</v>
      </c>
      <c r="B445" t="s">
        <v>77</v>
      </c>
      <c r="C445" t="s">
        <v>58</v>
      </c>
      <c r="D445">
        <v>2022</v>
      </c>
      <c r="E445" t="s">
        <v>63</v>
      </c>
      <c r="F445">
        <v>39</v>
      </c>
      <c r="G445" t="s">
        <v>143</v>
      </c>
    </row>
    <row r="446" spans="1:7" x14ac:dyDescent="0.35">
      <c r="A446" t="s">
        <v>16</v>
      </c>
      <c r="B446" t="s">
        <v>77</v>
      </c>
      <c r="C446" t="s">
        <v>58</v>
      </c>
      <c r="D446">
        <v>2022</v>
      </c>
      <c r="E446" t="s">
        <v>144</v>
      </c>
      <c r="F446">
        <v>18</v>
      </c>
      <c r="G446" t="s">
        <v>143</v>
      </c>
    </row>
    <row r="447" spans="1:7" x14ac:dyDescent="0.35">
      <c r="A447" t="s">
        <v>16</v>
      </c>
      <c r="B447" t="s">
        <v>77</v>
      </c>
      <c r="C447" t="s">
        <v>58</v>
      </c>
      <c r="D447">
        <v>2023</v>
      </c>
      <c r="E447" t="s">
        <v>60</v>
      </c>
      <c r="F447">
        <v>7</v>
      </c>
      <c r="G447" t="s">
        <v>143</v>
      </c>
    </row>
    <row r="448" spans="1:7" x14ac:dyDescent="0.35">
      <c r="A448" t="s">
        <v>16</v>
      </c>
      <c r="B448" t="s">
        <v>77</v>
      </c>
      <c r="C448" t="s">
        <v>58</v>
      </c>
      <c r="D448">
        <v>2023</v>
      </c>
      <c r="E448" t="s">
        <v>61</v>
      </c>
      <c r="F448">
        <v>18</v>
      </c>
      <c r="G448" t="s">
        <v>143</v>
      </c>
    </row>
    <row r="449" spans="1:7" x14ac:dyDescent="0.35">
      <c r="A449" t="s">
        <v>16</v>
      </c>
      <c r="B449" t="s">
        <v>77</v>
      </c>
      <c r="C449" t="s">
        <v>58</v>
      </c>
      <c r="D449">
        <v>2023</v>
      </c>
      <c r="E449" t="s">
        <v>63</v>
      </c>
      <c r="F449">
        <v>6</v>
      </c>
      <c r="G449" t="s">
        <v>143</v>
      </c>
    </row>
    <row r="450" spans="1:7" x14ac:dyDescent="0.35">
      <c r="A450" t="s">
        <v>16</v>
      </c>
      <c r="B450" t="s">
        <v>77</v>
      </c>
      <c r="C450" t="s">
        <v>58</v>
      </c>
      <c r="D450">
        <v>2023</v>
      </c>
      <c r="E450" t="s">
        <v>144</v>
      </c>
      <c r="F450">
        <v>5</v>
      </c>
      <c r="G450" t="s">
        <v>143</v>
      </c>
    </row>
    <row r="451" spans="1:7" x14ac:dyDescent="0.35">
      <c r="A451" t="s">
        <v>16</v>
      </c>
      <c r="B451" t="s">
        <v>77</v>
      </c>
      <c r="C451" t="s">
        <v>58</v>
      </c>
      <c r="D451">
        <v>2024</v>
      </c>
      <c r="E451" t="s">
        <v>60</v>
      </c>
      <c r="F451">
        <v>17</v>
      </c>
      <c r="G451" t="s">
        <v>143</v>
      </c>
    </row>
    <row r="452" spans="1:7" x14ac:dyDescent="0.35">
      <c r="A452" t="s">
        <v>16</v>
      </c>
      <c r="B452" t="s">
        <v>77</v>
      </c>
      <c r="C452" t="s">
        <v>58</v>
      </c>
      <c r="D452">
        <v>2024</v>
      </c>
      <c r="E452" t="s">
        <v>61</v>
      </c>
      <c r="F452">
        <v>22</v>
      </c>
      <c r="G452" t="s">
        <v>143</v>
      </c>
    </row>
    <row r="453" spans="1:7" x14ac:dyDescent="0.35">
      <c r="A453" t="s">
        <v>16</v>
      </c>
      <c r="B453" t="s">
        <v>77</v>
      </c>
      <c r="C453" t="s">
        <v>58</v>
      </c>
      <c r="D453">
        <v>2024</v>
      </c>
      <c r="E453" t="s">
        <v>63</v>
      </c>
      <c r="F453">
        <v>28</v>
      </c>
      <c r="G453" t="s">
        <v>143</v>
      </c>
    </row>
    <row r="454" spans="1:7" x14ac:dyDescent="0.35">
      <c r="A454" t="s">
        <v>16</v>
      </c>
      <c r="B454" t="s">
        <v>77</v>
      </c>
      <c r="C454" t="s">
        <v>58</v>
      </c>
      <c r="D454">
        <v>2024</v>
      </c>
      <c r="E454" t="s">
        <v>144</v>
      </c>
      <c r="F454">
        <v>4</v>
      </c>
      <c r="G454" t="s">
        <v>143</v>
      </c>
    </row>
    <row r="455" spans="1:7" x14ac:dyDescent="0.35">
      <c r="A455" t="s">
        <v>16</v>
      </c>
      <c r="B455" t="s">
        <v>77</v>
      </c>
      <c r="C455" t="s">
        <v>58</v>
      </c>
      <c r="D455">
        <v>2025</v>
      </c>
      <c r="E455" t="s">
        <v>60</v>
      </c>
      <c r="F455">
        <v>9</v>
      </c>
      <c r="G455" t="s">
        <v>143</v>
      </c>
    </row>
    <row r="456" spans="1:7" x14ac:dyDescent="0.35">
      <c r="A456" t="s">
        <v>16</v>
      </c>
      <c r="B456" t="s">
        <v>77</v>
      </c>
      <c r="C456" t="s">
        <v>58</v>
      </c>
      <c r="D456">
        <v>2025</v>
      </c>
      <c r="E456" t="s">
        <v>61</v>
      </c>
      <c r="F456">
        <v>29</v>
      </c>
      <c r="G456" t="s">
        <v>143</v>
      </c>
    </row>
    <row r="457" spans="1:7" x14ac:dyDescent="0.35">
      <c r="A457" t="s">
        <v>16</v>
      </c>
      <c r="B457" t="s">
        <v>77</v>
      </c>
      <c r="C457" t="s">
        <v>58</v>
      </c>
      <c r="D457">
        <v>2025</v>
      </c>
      <c r="E457" t="s">
        <v>63</v>
      </c>
      <c r="F457">
        <v>207</v>
      </c>
      <c r="G457" t="s">
        <v>143</v>
      </c>
    </row>
    <row r="458" spans="1:7" x14ac:dyDescent="0.35">
      <c r="A458" t="s">
        <v>16</v>
      </c>
      <c r="B458" t="s">
        <v>77</v>
      </c>
      <c r="C458" t="s">
        <v>58</v>
      </c>
      <c r="D458">
        <v>2025</v>
      </c>
      <c r="E458" t="s">
        <v>144</v>
      </c>
      <c r="F458">
        <v>166</v>
      </c>
      <c r="G458" t="s">
        <v>143</v>
      </c>
    </row>
    <row r="459" spans="1:7" x14ac:dyDescent="0.35">
      <c r="A459" t="s">
        <v>16</v>
      </c>
      <c r="B459" t="s">
        <v>77</v>
      </c>
      <c r="C459" t="s">
        <v>58</v>
      </c>
      <c r="D459">
        <v>2026</v>
      </c>
      <c r="E459" t="s">
        <v>60</v>
      </c>
      <c r="F459">
        <v>50.4</v>
      </c>
      <c r="G459" t="s">
        <v>143</v>
      </c>
    </row>
    <row r="460" spans="1:7" x14ac:dyDescent="0.35">
      <c r="A460" t="s">
        <v>16</v>
      </c>
      <c r="B460" t="s">
        <v>77</v>
      </c>
      <c r="C460" t="s">
        <v>59</v>
      </c>
      <c r="D460">
        <v>2022</v>
      </c>
      <c r="E460" t="s">
        <v>60</v>
      </c>
      <c r="F460">
        <v>1033</v>
      </c>
      <c r="G460" t="s">
        <v>143</v>
      </c>
    </row>
    <row r="461" spans="1:7" x14ac:dyDescent="0.35">
      <c r="A461" t="s">
        <v>16</v>
      </c>
      <c r="B461" t="s">
        <v>77</v>
      </c>
      <c r="C461" t="s">
        <v>59</v>
      </c>
      <c r="D461">
        <v>2022</v>
      </c>
      <c r="E461" t="s">
        <v>61</v>
      </c>
      <c r="F461">
        <v>1078</v>
      </c>
      <c r="G461" t="s">
        <v>143</v>
      </c>
    </row>
    <row r="462" spans="1:7" x14ac:dyDescent="0.35">
      <c r="A462" t="s">
        <v>16</v>
      </c>
      <c r="B462" t="s">
        <v>77</v>
      </c>
      <c r="C462" t="s">
        <v>59</v>
      </c>
      <c r="D462">
        <v>2022</v>
      </c>
      <c r="E462" t="s">
        <v>63</v>
      </c>
      <c r="F462">
        <v>861</v>
      </c>
      <c r="G462" t="s">
        <v>143</v>
      </c>
    </row>
    <row r="463" spans="1:7" x14ac:dyDescent="0.35">
      <c r="A463" t="s">
        <v>16</v>
      </c>
      <c r="B463" t="s">
        <v>77</v>
      </c>
      <c r="C463" t="s">
        <v>59</v>
      </c>
      <c r="D463">
        <v>2022</v>
      </c>
      <c r="E463" t="s">
        <v>144</v>
      </c>
      <c r="F463">
        <v>844</v>
      </c>
      <c r="G463" t="s">
        <v>143</v>
      </c>
    </row>
    <row r="464" spans="1:7" x14ac:dyDescent="0.35">
      <c r="A464" t="s">
        <v>16</v>
      </c>
      <c r="B464" t="s">
        <v>77</v>
      </c>
      <c r="C464" t="s">
        <v>59</v>
      </c>
      <c r="D464">
        <v>2023</v>
      </c>
      <c r="E464" t="s">
        <v>60</v>
      </c>
      <c r="F464">
        <v>937</v>
      </c>
      <c r="G464" t="s">
        <v>143</v>
      </c>
    </row>
    <row r="465" spans="1:7" x14ac:dyDescent="0.35">
      <c r="A465" t="s">
        <v>16</v>
      </c>
      <c r="B465" t="s">
        <v>77</v>
      </c>
      <c r="C465" t="s">
        <v>59</v>
      </c>
      <c r="D465">
        <v>2023</v>
      </c>
      <c r="E465" t="s">
        <v>61</v>
      </c>
      <c r="F465">
        <v>1169</v>
      </c>
      <c r="G465" t="s">
        <v>143</v>
      </c>
    </row>
    <row r="466" spans="1:7" x14ac:dyDescent="0.35">
      <c r="A466" t="s">
        <v>16</v>
      </c>
      <c r="B466" t="s">
        <v>77</v>
      </c>
      <c r="C466" t="s">
        <v>59</v>
      </c>
      <c r="D466">
        <v>2023</v>
      </c>
      <c r="E466" t="s">
        <v>63</v>
      </c>
      <c r="F466">
        <v>1109</v>
      </c>
      <c r="G466" t="s">
        <v>143</v>
      </c>
    </row>
    <row r="467" spans="1:7" x14ac:dyDescent="0.35">
      <c r="A467" t="s">
        <v>16</v>
      </c>
      <c r="B467" t="s">
        <v>77</v>
      </c>
      <c r="C467" t="s">
        <v>59</v>
      </c>
      <c r="D467">
        <v>2023</v>
      </c>
      <c r="E467" t="s">
        <v>144</v>
      </c>
      <c r="F467">
        <v>1016</v>
      </c>
      <c r="G467" t="s">
        <v>143</v>
      </c>
    </row>
    <row r="468" spans="1:7" x14ac:dyDescent="0.35">
      <c r="A468" t="s">
        <v>16</v>
      </c>
      <c r="B468" t="s">
        <v>77</v>
      </c>
      <c r="C468" t="s">
        <v>59</v>
      </c>
      <c r="D468">
        <v>2024</v>
      </c>
      <c r="E468" t="s">
        <v>60</v>
      </c>
      <c r="F468">
        <v>872</v>
      </c>
      <c r="G468" t="s">
        <v>143</v>
      </c>
    </row>
    <row r="469" spans="1:7" x14ac:dyDescent="0.35">
      <c r="A469" t="s">
        <v>16</v>
      </c>
      <c r="B469" t="s">
        <v>77</v>
      </c>
      <c r="C469" t="s">
        <v>59</v>
      </c>
      <c r="D469">
        <v>2024</v>
      </c>
      <c r="E469" t="s">
        <v>61</v>
      </c>
      <c r="F469">
        <v>974</v>
      </c>
      <c r="G469" t="s">
        <v>143</v>
      </c>
    </row>
    <row r="470" spans="1:7" x14ac:dyDescent="0.35">
      <c r="A470" t="s">
        <v>16</v>
      </c>
      <c r="B470" t="s">
        <v>77</v>
      </c>
      <c r="C470" t="s">
        <v>59</v>
      </c>
      <c r="D470">
        <v>2024</v>
      </c>
      <c r="E470" t="s">
        <v>63</v>
      </c>
      <c r="F470">
        <v>1109</v>
      </c>
      <c r="G470" t="s">
        <v>143</v>
      </c>
    </row>
    <row r="471" spans="1:7" x14ac:dyDescent="0.35">
      <c r="A471" t="s">
        <v>16</v>
      </c>
      <c r="B471" t="s">
        <v>77</v>
      </c>
      <c r="C471" t="s">
        <v>59</v>
      </c>
      <c r="D471">
        <v>2024</v>
      </c>
      <c r="E471" t="s">
        <v>144</v>
      </c>
      <c r="F471">
        <v>1002</v>
      </c>
      <c r="G471" t="s">
        <v>143</v>
      </c>
    </row>
    <row r="472" spans="1:7" x14ac:dyDescent="0.35">
      <c r="A472" t="s">
        <v>16</v>
      </c>
      <c r="B472" t="s">
        <v>77</v>
      </c>
      <c r="C472" t="s">
        <v>59</v>
      </c>
      <c r="D472">
        <v>2025</v>
      </c>
      <c r="E472" t="s">
        <v>60</v>
      </c>
      <c r="F472">
        <v>1061</v>
      </c>
      <c r="G472" t="s">
        <v>143</v>
      </c>
    </row>
    <row r="473" spans="1:7" x14ac:dyDescent="0.35">
      <c r="A473" t="s">
        <v>16</v>
      </c>
      <c r="B473" t="s">
        <v>77</v>
      </c>
      <c r="C473" t="s">
        <v>59</v>
      </c>
      <c r="D473">
        <v>2025</v>
      </c>
      <c r="E473" t="s">
        <v>61</v>
      </c>
      <c r="F473">
        <v>1556</v>
      </c>
      <c r="G473" t="s">
        <v>143</v>
      </c>
    </row>
    <row r="474" spans="1:7" x14ac:dyDescent="0.35">
      <c r="A474" t="s">
        <v>16</v>
      </c>
      <c r="B474" t="s">
        <v>77</v>
      </c>
      <c r="C474" t="s">
        <v>59</v>
      </c>
      <c r="D474">
        <v>2025</v>
      </c>
      <c r="E474" t="s">
        <v>63</v>
      </c>
      <c r="F474">
        <v>1547</v>
      </c>
      <c r="G474" t="s">
        <v>143</v>
      </c>
    </row>
    <row r="475" spans="1:7" x14ac:dyDescent="0.35">
      <c r="A475" t="s">
        <v>16</v>
      </c>
      <c r="B475" t="s">
        <v>77</v>
      </c>
      <c r="C475" t="s">
        <v>59</v>
      </c>
      <c r="D475">
        <v>2025</v>
      </c>
      <c r="E475" t="s">
        <v>144</v>
      </c>
      <c r="F475">
        <v>1640</v>
      </c>
      <c r="G475" t="s">
        <v>143</v>
      </c>
    </row>
    <row r="476" spans="1:7" x14ac:dyDescent="0.35">
      <c r="A476" t="s">
        <v>16</v>
      </c>
      <c r="B476" t="s">
        <v>77</v>
      </c>
      <c r="C476" t="s">
        <v>59</v>
      </c>
      <c r="D476">
        <v>2026</v>
      </c>
      <c r="E476" t="s">
        <v>60</v>
      </c>
      <c r="F476">
        <v>1818.01</v>
      </c>
      <c r="G476" t="s">
        <v>143</v>
      </c>
    </row>
    <row r="477" spans="1:7" x14ac:dyDescent="0.35">
      <c r="A477" t="s">
        <v>17</v>
      </c>
      <c r="B477" t="s">
        <v>78</v>
      </c>
      <c r="C477" t="s">
        <v>57</v>
      </c>
      <c r="D477">
        <v>2022</v>
      </c>
      <c r="E477" t="s">
        <v>60</v>
      </c>
      <c r="F477">
        <v>2077</v>
      </c>
      <c r="G477" t="s">
        <v>143</v>
      </c>
    </row>
    <row r="478" spans="1:7" x14ac:dyDescent="0.35">
      <c r="A478" t="s">
        <v>17</v>
      </c>
      <c r="B478" t="s">
        <v>78</v>
      </c>
      <c r="C478" t="s">
        <v>57</v>
      </c>
      <c r="D478">
        <v>2022</v>
      </c>
      <c r="E478" t="s">
        <v>61</v>
      </c>
      <c r="F478">
        <v>1927</v>
      </c>
      <c r="G478" t="s">
        <v>143</v>
      </c>
    </row>
    <row r="479" spans="1:7" x14ac:dyDescent="0.35">
      <c r="A479" t="s">
        <v>17</v>
      </c>
      <c r="B479" t="s">
        <v>78</v>
      </c>
      <c r="C479" t="s">
        <v>57</v>
      </c>
      <c r="D479">
        <v>2022</v>
      </c>
      <c r="E479" t="s">
        <v>63</v>
      </c>
      <c r="F479">
        <v>1898</v>
      </c>
      <c r="G479" t="s">
        <v>143</v>
      </c>
    </row>
    <row r="480" spans="1:7" x14ac:dyDescent="0.35">
      <c r="A480" t="s">
        <v>17</v>
      </c>
      <c r="B480" t="s">
        <v>78</v>
      </c>
      <c r="C480" t="s">
        <v>57</v>
      </c>
      <c r="D480">
        <v>2022</v>
      </c>
      <c r="E480" t="s">
        <v>144</v>
      </c>
      <c r="F480">
        <v>2082</v>
      </c>
      <c r="G480" t="s">
        <v>143</v>
      </c>
    </row>
    <row r="481" spans="1:7" x14ac:dyDescent="0.35">
      <c r="A481" t="s">
        <v>17</v>
      </c>
      <c r="B481" t="s">
        <v>78</v>
      </c>
      <c r="C481" t="s">
        <v>57</v>
      </c>
      <c r="D481">
        <v>2023</v>
      </c>
      <c r="E481" t="s">
        <v>60</v>
      </c>
      <c r="F481">
        <v>2131</v>
      </c>
      <c r="G481" t="s">
        <v>143</v>
      </c>
    </row>
    <row r="482" spans="1:7" x14ac:dyDescent="0.35">
      <c r="A482" t="s">
        <v>17</v>
      </c>
      <c r="B482" t="s">
        <v>78</v>
      </c>
      <c r="C482" t="s">
        <v>57</v>
      </c>
      <c r="D482">
        <v>2023</v>
      </c>
      <c r="E482" t="s">
        <v>61</v>
      </c>
      <c r="F482">
        <v>1999</v>
      </c>
      <c r="G482" t="s">
        <v>143</v>
      </c>
    </row>
    <row r="483" spans="1:7" x14ac:dyDescent="0.35">
      <c r="A483" t="s">
        <v>17</v>
      </c>
      <c r="B483" t="s">
        <v>78</v>
      </c>
      <c r="C483" t="s">
        <v>57</v>
      </c>
      <c r="D483">
        <v>2023</v>
      </c>
      <c r="E483" t="s">
        <v>63</v>
      </c>
      <c r="F483">
        <v>1952</v>
      </c>
      <c r="G483" t="s">
        <v>143</v>
      </c>
    </row>
    <row r="484" spans="1:7" x14ac:dyDescent="0.35">
      <c r="A484" t="s">
        <v>17</v>
      </c>
      <c r="B484" t="s">
        <v>78</v>
      </c>
      <c r="C484" t="s">
        <v>57</v>
      </c>
      <c r="D484">
        <v>2023</v>
      </c>
      <c r="E484" t="s">
        <v>144</v>
      </c>
      <c r="F484">
        <v>2130</v>
      </c>
      <c r="G484" t="s">
        <v>143</v>
      </c>
    </row>
    <row r="485" spans="1:7" x14ac:dyDescent="0.35">
      <c r="A485" t="s">
        <v>17</v>
      </c>
      <c r="B485" t="s">
        <v>78</v>
      </c>
      <c r="C485" t="s">
        <v>57</v>
      </c>
      <c r="D485">
        <v>2024</v>
      </c>
      <c r="E485" t="s">
        <v>60</v>
      </c>
      <c r="F485">
        <v>1884</v>
      </c>
      <c r="G485" t="s">
        <v>143</v>
      </c>
    </row>
    <row r="486" spans="1:7" x14ac:dyDescent="0.35">
      <c r="A486" t="s">
        <v>17</v>
      </c>
      <c r="B486" t="s">
        <v>78</v>
      </c>
      <c r="C486" t="s">
        <v>57</v>
      </c>
      <c r="D486">
        <v>2024</v>
      </c>
      <c r="E486" t="s">
        <v>61</v>
      </c>
      <c r="F486">
        <v>1807</v>
      </c>
      <c r="G486" t="s">
        <v>143</v>
      </c>
    </row>
    <row r="487" spans="1:7" x14ac:dyDescent="0.35">
      <c r="A487" t="s">
        <v>17</v>
      </c>
      <c r="B487" t="s">
        <v>78</v>
      </c>
      <c r="C487" t="s">
        <v>57</v>
      </c>
      <c r="D487">
        <v>2024</v>
      </c>
      <c r="E487" t="s">
        <v>63</v>
      </c>
      <c r="F487">
        <v>2110</v>
      </c>
      <c r="G487" t="s">
        <v>143</v>
      </c>
    </row>
    <row r="488" spans="1:7" x14ac:dyDescent="0.35">
      <c r="A488" t="s">
        <v>17</v>
      </c>
      <c r="B488" t="s">
        <v>78</v>
      </c>
      <c r="C488" t="s">
        <v>57</v>
      </c>
      <c r="D488">
        <v>2024</v>
      </c>
      <c r="E488" t="s">
        <v>144</v>
      </c>
      <c r="F488">
        <v>2354</v>
      </c>
      <c r="G488" t="s">
        <v>143</v>
      </c>
    </row>
    <row r="489" spans="1:7" x14ac:dyDescent="0.35">
      <c r="A489" t="s">
        <v>17</v>
      </c>
      <c r="B489" t="s">
        <v>78</v>
      </c>
      <c r="C489" t="s">
        <v>57</v>
      </c>
      <c r="D489">
        <v>2025</v>
      </c>
      <c r="E489" t="s">
        <v>60</v>
      </c>
      <c r="F489">
        <v>2048</v>
      </c>
      <c r="G489" t="s">
        <v>143</v>
      </c>
    </row>
    <row r="490" spans="1:7" x14ac:dyDescent="0.35">
      <c r="A490" t="s">
        <v>17</v>
      </c>
      <c r="B490" t="s">
        <v>78</v>
      </c>
      <c r="C490" t="s">
        <v>57</v>
      </c>
      <c r="D490">
        <v>2025</v>
      </c>
      <c r="E490" t="s">
        <v>61</v>
      </c>
      <c r="F490">
        <v>2111</v>
      </c>
      <c r="G490" t="s">
        <v>143</v>
      </c>
    </row>
    <row r="491" spans="1:7" x14ac:dyDescent="0.35">
      <c r="A491" t="s">
        <v>17</v>
      </c>
      <c r="B491" t="s">
        <v>78</v>
      </c>
      <c r="C491" t="s">
        <v>57</v>
      </c>
      <c r="D491">
        <v>2025</v>
      </c>
      <c r="E491" t="s">
        <v>63</v>
      </c>
      <c r="F491">
        <v>2367</v>
      </c>
      <c r="G491" t="s">
        <v>143</v>
      </c>
    </row>
    <row r="492" spans="1:7" x14ac:dyDescent="0.35">
      <c r="A492" t="s">
        <v>17</v>
      </c>
      <c r="B492" t="s">
        <v>78</v>
      </c>
      <c r="C492" t="s">
        <v>57</v>
      </c>
      <c r="D492">
        <v>2025</v>
      </c>
      <c r="E492" t="s">
        <v>144</v>
      </c>
      <c r="F492">
        <v>2354</v>
      </c>
      <c r="G492" t="s">
        <v>143</v>
      </c>
    </row>
    <row r="493" spans="1:7" x14ac:dyDescent="0.35">
      <c r="A493" t="s">
        <v>17</v>
      </c>
      <c r="B493" t="s">
        <v>78</v>
      </c>
      <c r="C493" t="s">
        <v>57</v>
      </c>
      <c r="D493">
        <v>2026</v>
      </c>
      <c r="E493" t="s">
        <v>60</v>
      </c>
      <c r="F493">
        <v>1774</v>
      </c>
      <c r="G493" t="s">
        <v>143</v>
      </c>
    </row>
    <row r="494" spans="1:7" x14ac:dyDescent="0.35">
      <c r="A494" t="s">
        <v>17</v>
      </c>
      <c r="B494" t="s">
        <v>78</v>
      </c>
      <c r="C494" t="s">
        <v>59</v>
      </c>
      <c r="D494">
        <v>2022</v>
      </c>
      <c r="E494" t="s">
        <v>60</v>
      </c>
      <c r="F494">
        <v>5142</v>
      </c>
      <c r="G494" t="s">
        <v>143</v>
      </c>
    </row>
    <row r="495" spans="1:7" x14ac:dyDescent="0.35">
      <c r="A495" t="s">
        <v>17</v>
      </c>
      <c r="B495" t="s">
        <v>78</v>
      </c>
      <c r="C495" t="s">
        <v>59</v>
      </c>
      <c r="D495">
        <v>2022</v>
      </c>
      <c r="E495" t="s">
        <v>61</v>
      </c>
      <c r="F495">
        <v>6270</v>
      </c>
      <c r="G495" t="s">
        <v>143</v>
      </c>
    </row>
    <row r="496" spans="1:7" x14ac:dyDescent="0.35">
      <c r="A496" t="s">
        <v>17</v>
      </c>
      <c r="B496" t="s">
        <v>78</v>
      </c>
      <c r="C496" t="s">
        <v>59</v>
      </c>
      <c r="D496">
        <v>2022</v>
      </c>
      <c r="E496" t="s">
        <v>63</v>
      </c>
      <c r="F496">
        <v>5998</v>
      </c>
      <c r="G496" t="s">
        <v>143</v>
      </c>
    </row>
    <row r="497" spans="1:7" x14ac:dyDescent="0.35">
      <c r="A497" t="s">
        <v>17</v>
      </c>
      <c r="B497" t="s">
        <v>78</v>
      </c>
      <c r="C497" t="s">
        <v>59</v>
      </c>
      <c r="D497">
        <v>2022</v>
      </c>
      <c r="E497" t="s">
        <v>144</v>
      </c>
      <c r="F497">
        <v>5486</v>
      </c>
      <c r="G497" t="s">
        <v>143</v>
      </c>
    </row>
    <row r="498" spans="1:7" x14ac:dyDescent="0.35">
      <c r="A498" t="s">
        <v>17</v>
      </c>
      <c r="B498" t="s">
        <v>78</v>
      </c>
      <c r="C498" t="s">
        <v>59</v>
      </c>
      <c r="D498">
        <v>2023</v>
      </c>
      <c r="E498" t="s">
        <v>60</v>
      </c>
      <c r="F498">
        <v>4887</v>
      </c>
      <c r="G498" t="s">
        <v>143</v>
      </c>
    </row>
    <row r="499" spans="1:7" x14ac:dyDescent="0.35">
      <c r="A499" t="s">
        <v>17</v>
      </c>
      <c r="B499" t="s">
        <v>78</v>
      </c>
      <c r="C499" t="s">
        <v>59</v>
      </c>
      <c r="D499">
        <v>2023</v>
      </c>
      <c r="E499" t="s">
        <v>61</v>
      </c>
      <c r="F499">
        <v>4600</v>
      </c>
      <c r="G499" t="s">
        <v>143</v>
      </c>
    </row>
    <row r="500" spans="1:7" x14ac:dyDescent="0.35">
      <c r="A500" t="s">
        <v>17</v>
      </c>
      <c r="B500" t="s">
        <v>78</v>
      </c>
      <c r="C500" t="s">
        <v>59</v>
      </c>
      <c r="D500">
        <v>2023</v>
      </c>
      <c r="E500" t="s">
        <v>63</v>
      </c>
      <c r="F500">
        <v>5439</v>
      </c>
      <c r="G500" t="s">
        <v>143</v>
      </c>
    </row>
    <row r="501" spans="1:7" x14ac:dyDescent="0.35">
      <c r="A501" t="s">
        <v>17</v>
      </c>
      <c r="B501" t="s">
        <v>78</v>
      </c>
      <c r="C501" t="s">
        <v>59</v>
      </c>
      <c r="D501">
        <v>2023</v>
      </c>
      <c r="E501" t="s">
        <v>144</v>
      </c>
      <c r="F501">
        <v>4864</v>
      </c>
      <c r="G501" t="s">
        <v>143</v>
      </c>
    </row>
    <row r="502" spans="1:7" x14ac:dyDescent="0.35">
      <c r="A502" t="s">
        <v>17</v>
      </c>
      <c r="B502" t="s">
        <v>78</v>
      </c>
      <c r="C502" t="s">
        <v>59</v>
      </c>
      <c r="D502">
        <v>2024</v>
      </c>
      <c r="E502" t="s">
        <v>60</v>
      </c>
      <c r="F502">
        <v>4622</v>
      </c>
      <c r="G502" t="s">
        <v>143</v>
      </c>
    </row>
    <row r="503" spans="1:7" x14ac:dyDescent="0.35">
      <c r="A503" t="s">
        <v>17</v>
      </c>
      <c r="B503" t="s">
        <v>78</v>
      </c>
      <c r="C503" t="s">
        <v>59</v>
      </c>
      <c r="D503">
        <v>2024</v>
      </c>
      <c r="E503" t="s">
        <v>61</v>
      </c>
      <c r="F503">
        <v>5661</v>
      </c>
      <c r="G503" t="s">
        <v>143</v>
      </c>
    </row>
    <row r="504" spans="1:7" x14ac:dyDescent="0.35">
      <c r="A504" t="s">
        <v>17</v>
      </c>
      <c r="B504" t="s">
        <v>78</v>
      </c>
      <c r="C504" t="s">
        <v>59</v>
      </c>
      <c r="D504">
        <v>2024</v>
      </c>
      <c r="E504" t="s">
        <v>63</v>
      </c>
      <c r="F504">
        <v>4832</v>
      </c>
      <c r="G504" t="s">
        <v>143</v>
      </c>
    </row>
    <row r="505" spans="1:7" x14ac:dyDescent="0.35">
      <c r="A505" t="s">
        <v>17</v>
      </c>
      <c r="B505" t="s">
        <v>78</v>
      </c>
      <c r="C505" t="s">
        <v>59</v>
      </c>
      <c r="D505">
        <v>2024</v>
      </c>
      <c r="E505" t="s">
        <v>144</v>
      </c>
      <c r="F505">
        <v>4034</v>
      </c>
      <c r="G505" t="s">
        <v>143</v>
      </c>
    </row>
    <row r="506" spans="1:7" x14ac:dyDescent="0.35">
      <c r="A506" t="s">
        <v>17</v>
      </c>
      <c r="B506" t="s">
        <v>78</v>
      </c>
      <c r="C506" t="s">
        <v>59</v>
      </c>
      <c r="D506">
        <v>2025</v>
      </c>
      <c r="E506" t="s">
        <v>60</v>
      </c>
      <c r="F506">
        <v>3876</v>
      </c>
      <c r="G506" t="s">
        <v>143</v>
      </c>
    </row>
    <row r="507" spans="1:7" x14ac:dyDescent="0.35">
      <c r="A507" t="s">
        <v>17</v>
      </c>
      <c r="B507" t="s">
        <v>78</v>
      </c>
      <c r="C507" t="s">
        <v>59</v>
      </c>
      <c r="D507">
        <v>2025</v>
      </c>
      <c r="E507" t="s">
        <v>61</v>
      </c>
      <c r="F507">
        <v>4881</v>
      </c>
      <c r="G507" t="s">
        <v>143</v>
      </c>
    </row>
    <row r="508" spans="1:7" x14ac:dyDescent="0.35">
      <c r="A508" t="s">
        <v>17</v>
      </c>
      <c r="B508" t="s">
        <v>78</v>
      </c>
      <c r="C508" t="s">
        <v>59</v>
      </c>
      <c r="D508">
        <v>2025</v>
      </c>
      <c r="E508" t="s">
        <v>63</v>
      </c>
      <c r="F508">
        <v>4004</v>
      </c>
      <c r="G508" t="s">
        <v>143</v>
      </c>
    </row>
    <row r="509" spans="1:7" x14ac:dyDescent="0.35">
      <c r="A509" t="s">
        <v>17</v>
      </c>
      <c r="B509" t="s">
        <v>78</v>
      </c>
      <c r="C509" t="s">
        <v>59</v>
      </c>
      <c r="D509">
        <v>2025</v>
      </c>
      <c r="E509" t="s">
        <v>144</v>
      </c>
      <c r="F509">
        <v>4034</v>
      </c>
      <c r="G509" t="s">
        <v>143</v>
      </c>
    </row>
    <row r="510" spans="1:7" x14ac:dyDescent="0.35">
      <c r="A510" t="s">
        <v>17</v>
      </c>
      <c r="B510" t="s">
        <v>78</v>
      </c>
      <c r="C510" t="s">
        <v>59</v>
      </c>
      <c r="D510">
        <v>2026</v>
      </c>
      <c r="E510" t="s">
        <v>60</v>
      </c>
      <c r="F510">
        <v>3439</v>
      </c>
      <c r="G510" t="s">
        <v>143</v>
      </c>
    </row>
    <row r="511" spans="1:7" x14ac:dyDescent="0.35">
      <c r="A511" t="s">
        <v>18</v>
      </c>
      <c r="B511" t="s">
        <v>79</v>
      </c>
      <c r="C511" t="s">
        <v>57</v>
      </c>
      <c r="D511">
        <v>2022</v>
      </c>
      <c r="E511" t="s">
        <v>60</v>
      </c>
      <c r="F511">
        <v>1345</v>
      </c>
      <c r="G511" t="s">
        <v>143</v>
      </c>
    </row>
    <row r="512" spans="1:7" x14ac:dyDescent="0.35">
      <c r="A512" t="s">
        <v>18</v>
      </c>
      <c r="B512" t="s">
        <v>79</v>
      </c>
      <c r="C512" t="s">
        <v>57</v>
      </c>
      <c r="D512">
        <v>2022</v>
      </c>
      <c r="E512" t="s">
        <v>61</v>
      </c>
      <c r="F512">
        <v>1107</v>
      </c>
      <c r="G512" t="s">
        <v>143</v>
      </c>
    </row>
    <row r="513" spans="1:7" x14ac:dyDescent="0.35">
      <c r="A513" t="s">
        <v>18</v>
      </c>
      <c r="B513" t="s">
        <v>79</v>
      </c>
      <c r="C513" t="s">
        <v>57</v>
      </c>
      <c r="D513">
        <v>2022</v>
      </c>
      <c r="E513" t="s">
        <v>63</v>
      </c>
      <c r="F513">
        <v>1196</v>
      </c>
      <c r="G513" t="s">
        <v>143</v>
      </c>
    </row>
    <row r="514" spans="1:7" x14ac:dyDescent="0.35">
      <c r="A514" t="s">
        <v>18</v>
      </c>
      <c r="B514" t="s">
        <v>79</v>
      </c>
      <c r="C514" t="s">
        <v>57</v>
      </c>
      <c r="D514">
        <v>2022</v>
      </c>
      <c r="E514" t="s">
        <v>144</v>
      </c>
      <c r="F514">
        <v>1240</v>
      </c>
      <c r="G514" t="s">
        <v>143</v>
      </c>
    </row>
    <row r="515" spans="1:7" x14ac:dyDescent="0.35">
      <c r="A515" t="s">
        <v>18</v>
      </c>
      <c r="B515" t="s">
        <v>79</v>
      </c>
      <c r="C515" t="s">
        <v>57</v>
      </c>
      <c r="D515">
        <v>2023</v>
      </c>
      <c r="E515" t="s">
        <v>60</v>
      </c>
      <c r="F515">
        <v>1343</v>
      </c>
      <c r="G515" t="s">
        <v>143</v>
      </c>
    </row>
    <row r="516" spans="1:7" x14ac:dyDescent="0.35">
      <c r="A516" t="s">
        <v>18</v>
      </c>
      <c r="B516" t="s">
        <v>79</v>
      </c>
      <c r="C516" t="s">
        <v>57</v>
      </c>
      <c r="D516">
        <v>2023</v>
      </c>
      <c r="E516" t="s">
        <v>61</v>
      </c>
      <c r="F516">
        <v>1200</v>
      </c>
      <c r="G516" t="s">
        <v>143</v>
      </c>
    </row>
    <row r="517" spans="1:7" x14ac:dyDescent="0.35">
      <c r="A517" t="s">
        <v>18</v>
      </c>
      <c r="B517" t="s">
        <v>79</v>
      </c>
      <c r="C517" t="s">
        <v>57</v>
      </c>
      <c r="D517">
        <v>2023</v>
      </c>
      <c r="E517" t="s">
        <v>63</v>
      </c>
      <c r="F517">
        <v>1126</v>
      </c>
      <c r="G517" t="s">
        <v>143</v>
      </c>
    </row>
    <row r="518" spans="1:7" x14ac:dyDescent="0.35">
      <c r="A518" t="s">
        <v>18</v>
      </c>
      <c r="B518" t="s">
        <v>79</v>
      </c>
      <c r="C518" t="s">
        <v>57</v>
      </c>
      <c r="D518">
        <v>2023</v>
      </c>
      <c r="E518" t="s">
        <v>144</v>
      </c>
      <c r="F518">
        <v>1326</v>
      </c>
      <c r="G518" t="s">
        <v>143</v>
      </c>
    </row>
    <row r="519" spans="1:7" x14ac:dyDescent="0.35">
      <c r="A519" t="s">
        <v>18</v>
      </c>
      <c r="B519" t="s">
        <v>79</v>
      </c>
      <c r="C519" t="s">
        <v>57</v>
      </c>
      <c r="D519">
        <v>2024</v>
      </c>
      <c r="E519" t="s">
        <v>60</v>
      </c>
      <c r="F519">
        <v>1249</v>
      </c>
      <c r="G519" t="s">
        <v>143</v>
      </c>
    </row>
    <row r="520" spans="1:7" x14ac:dyDescent="0.35">
      <c r="A520" t="s">
        <v>18</v>
      </c>
      <c r="B520" t="s">
        <v>79</v>
      </c>
      <c r="C520" t="s">
        <v>57</v>
      </c>
      <c r="D520">
        <v>2024</v>
      </c>
      <c r="E520" t="s">
        <v>61</v>
      </c>
      <c r="F520">
        <v>1188</v>
      </c>
      <c r="G520" t="s">
        <v>143</v>
      </c>
    </row>
    <row r="521" spans="1:7" x14ac:dyDescent="0.35">
      <c r="A521" t="s">
        <v>18</v>
      </c>
      <c r="B521" t="s">
        <v>79</v>
      </c>
      <c r="C521" t="s">
        <v>57</v>
      </c>
      <c r="D521">
        <v>2024</v>
      </c>
      <c r="E521" t="s">
        <v>63</v>
      </c>
      <c r="F521">
        <v>1365</v>
      </c>
      <c r="G521" t="s">
        <v>143</v>
      </c>
    </row>
    <row r="522" spans="1:7" x14ac:dyDescent="0.35">
      <c r="A522" t="s">
        <v>18</v>
      </c>
      <c r="B522" t="s">
        <v>79</v>
      </c>
      <c r="C522" t="s">
        <v>57</v>
      </c>
      <c r="D522">
        <v>2024</v>
      </c>
      <c r="E522" t="s">
        <v>144</v>
      </c>
      <c r="F522">
        <v>1692</v>
      </c>
      <c r="G522" t="s">
        <v>143</v>
      </c>
    </row>
    <row r="523" spans="1:7" x14ac:dyDescent="0.35">
      <c r="A523" t="s">
        <v>18</v>
      </c>
      <c r="B523" t="s">
        <v>79</v>
      </c>
      <c r="C523" t="s">
        <v>57</v>
      </c>
      <c r="D523">
        <v>2025</v>
      </c>
      <c r="E523" t="s">
        <v>60</v>
      </c>
      <c r="F523">
        <v>1551</v>
      </c>
      <c r="G523" t="s">
        <v>143</v>
      </c>
    </row>
    <row r="524" spans="1:7" x14ac:dyDescent="0.35">
      <c r="A524" t="s">
        <v>18</v>
      </c>
      <c r="B524" t="s">
        <v>79</v>
      </c>
      <c r="C524" t="s">
        <v>57</v>
      </c>
      <c r="D524">
        <v>2025</v>
      </c>
      <c r="E524" t="s">
        <v>61</v>
      </c>
      <c r="F524">
        <v>1503</v>
      </c>
      <c r="G524" t="s">
        <v>143</v>
      </c>
    </row>
    <row r="525" spans="1:7" x14ac:dyDescent="0.35">
      <c r="A525" t="s">
        <v>18</v>
      </c>
      <c r="B525" t="s">
        <v>79</v>
      </c>
      <c r="C525" t="s">
        <v>57</v>
      </c>
      <c r="D525">
        <v>2025</v>
      </c>
      <c r="E525" t="s">
        <v>63</v>
      </c>
      <c r="F525">
        <v>1478</v>
      </c>
      <c r="G525" t="s">
        <v>143</v>
      </c>
    </row>
    <row r="526" spans="1:7" x14ac:dyDescent="0.35">
      <c r="A526" t="s">
        <v>18</v>
      </c>
      <c r="B526" t="s">
        <v>79</v>
      </c>
      <c r="C526" t="s">
        <v>57</v>
      </c>
      <c r="D526">
        <v>2025</v>
      </c>
      <c r="E526" t="s">
        <v>144</v>
      </c>
      <c r="F526">
        <v>1854</v>
      </c>
      <c r="G526" t="s">
        <v>143</v>
      </c>
    </row>
    <row r="527" spans="1:7" x14ac:dyDescent="0.35">
      <c r="A527" t="s">
        <v>18</v>
      </c>
      <c r="B527" t="s">
        <v>79</v>
      </c>
      <c r="C527" t="s">
        <v>57</v>
      </c>
      <c r="D527">
        <v>2026</v>
      </c>
      <c r="E527" t="s">
        <v>60</v>
      </c>
      <c r="F527">
        <v>1395</v>
      </c>
      <c r="G527" t="s">
        <v>143</v>
      </c>
    </row>
    <row r="528" spans="1:7" x14ac:dyDescent="0.35">
      <c r="A528" t="s">
        <v>18</v>
      </c>
      <c r="B528" t="s">
        <v>79</v>
      </c>
      <c r="C528" t="s">
        <v>58</v>
      </c>
      <c r="D528">
        <v>2022</v>
      </c>
      <c r="E528" t="s">
        <v>60</v>
      </c>
      <c r="F528">
        <v>1</v>
      </c>
      <c r="G528" t="s">
        <v>143</v>
      </c>
    </row>
    <row r="529" spans="1:7" x14ac:dyDescent="0.35">
      <c r="A529" t="s">
        <v>18</v>
      </c>
      <c r="B529" t="s">
        <v>79</v>
      </c>
      <c r="C529" t="s">
        <v>58</v>
      </c>
      <c r="D529">
        <v>2022</v>
      </c>
      <c r="E529" t="s">
        <v>61</v>
      </c>
      <c r="F529">
        <v>21</v>
      </c>
      <c r="G529" t="s">
        <v>143</v>
      </c>
    </row>
    <row r="530" spans="1:7" x14ac:dyDescent="0.35">
      <c r="A530" t="s">
        <v>18</v>
      </c>
      <c r="B530" t="s">
        <v>79</v>
      </c>
      <c r="C530" t="s">
        <v>58</v>
      </c>
      <c r="D530">
        <v>2022</v>
      </c>
      <c r="E530" t="s">
        <v>63</v>
      </c>
      <c r="F530">
        <v>24</v>
      </c>
      <c r="G530" t="s">
        <v>143</v>
      </c>
    </row>
    <row r="531" spans="1:7" x14ac:dyDescent="0.35">
      <c r="A531" t="s">
        <v>18</v>
      </c>
      <c r="B531" t="s">
        <v>79</v>
      </c>
      <c r="C531" t="s">
        <v>58</v>
      </c>
      <c r="D531">
        <v>2022</v>
      </c>
      <c r="E531" t="s">
        <v>144</v>
      </c>
      <c r="F531">
        <v>96</v>
      </c>
      <c r="G531" t="s">
        <v>143</v>
      </c>
    </row>
    <row r="532" spans="1:7" x14ac:dyDescent="0.35">
      <c r="A532" t="s">
        <v>18</v>
      </c>
      <c r="B532" t="s">
        <v>79</v>
      </c>
      <c r="C532" t="s">
        <v>58</v>
      </c>
      <c r="D532">
        <v>2023</v>
      </c>
      <c r="E532" t="s">
        <v>60</v>
      </c>
      <c r="F532">
        <v>15</v>
      </c>
      <c r="G532" t="s">
        <v>143</v>
      </c>
    </row>
    <row r="533" spans="1:7" x14ac:dyDescent="0.35">
      <c r="A533" t="s">
        <v>18</v>
      </c>
      <c r="B533" t="s">
        <v>79</v>
      </c>
      <c r="C533" t="s">
        <v>58</v>
      </c>
      <c r="D533">
        <v>2023</v>
      </c>
      <c r="E533" t="s">
        <v>61</v>
      </c>
      <c r="F533">
        <v>58</v>
      </c>
      <c r="G533" t="s">
        <v>143</v>
      </c>
    </row>
    <row r="534" spans="1:7" x14ac:dyDescent="0.35">
      <c r="A534" t="s">
        <v>18</v>
      </c>
      <c r="B534" t="s">
        <v>79</v>
      </c>
      <c r="C534" t="s">
        <v>58</v>
      </c>
      <c r="D534">
        <v>2023</v>
      </c>
      <c r="E534" t="s">
        <v>63</v>
      </c>
      <c r="F534">
        <v>17</v>
      </c>
      <c r="G534" t="s">
        <v>143</v>
      </c>
    </row>
    <row r="535" spans="1:7" x14ac:dyDescent="0.35">
      <c r="A535" t="s">
        <v>18</v>
      </c>
      <c r="B535" t="s">
        <v>79</v>
      </c>
      <c r="C535" t="s">
        <v>58</v>
      </c>
      <c r="D535">
        <v>2023</v>
      </c>
      <c r="E535" t="s">
        <v>144</v>
      </c>
      <c r="F535">
        <v>129</v>
      </c>
      <c r="G535" t="s">
        <v>143</v>
      </c>
    </row>
    <row r="536" spans="1:7" x14ac:dyDescent="0.35">
      <c r="A536" t="s">
        <v>18</v>
      </c>
      <c r="B536" t="s">
        <v>79</v>
      </c>
      <c r="C536" t="s">
        <v>58</v>
      </c>
      <c r="D536">
        <v>2024</v>
      </c>
      <c r="E536" t="s">
        <v>60</v>
      </c>
      <c r="F536">
        <v>12</v>
      </c>
      <c r="G536" t="s">
        <v>143</v>
      </c>
    </row>
    <row r="537" spans="1:7" x14ac:dyDescent="0.35">
      <c r="A537" t="s">
        <v>18</v>
      </c>
      <c r="B537" t="s">
        <v>79</v>
      </c>
      <c r="C537" t="s">
        <v>58</v>
      </c>
      <c r="D537">
        <v>2024</v>
      </c>
      <c r="E537" t="s">
        <v>61</v>
      </c>
      <c r="F537">
        <v>62</v>
      </c>
      <c r="G537" t="s">
        <v>143</v>
      </c>
    </row>
    <row r="538" spans="1:7" x14ac:dyDescent="0.35">
      <c r="A538" t="s">
        <v>18</v>
      </c>
      <c r="B538" t="s">
        <v>79</v>
      </c>
      <c r="C538" t="s">
        <v>58</v>
      </c>
      <c r="D538">
        <v>2024</v>
      </c>
      <c r="E538" t="s">
        <v>63</v>
      </c>
      <c r="F538">
        <v>32</v>
      </c>
      <c r="G538" t="s">
        <v>143</v>
      </c>
    </row>
    <row r="539" spans="1:7" x14ac:dyDescent="0.35">
      <c r="A539" t="s">
        <v>18</v>
      </c>
      <c r="B539" t="s">
        <v>79</v>
      </c>
      <c r="C539" t="s">
        <v>58</v>
      </c>
      <c r="D539">
        <v>2024</v>
      </c>
      <c r="E539" t="s">
        <v>144</v>
      </c>
      <c r="F539">
        <v>91</v>
      </c>
      <c r="G539" t="s">
        <v>143</v>
      </c>
    </row>
    <row r="540" spans="1:7" x14ac:dyDescent="0.35">
      <c r="A540" t="s">
        <v>18</v>
      </c>
      <c r="B540" t="s">
        <v>79</v>
      </c>
      <c r="C540" t="s">
        <v>58</v>
      </c>
      <c r="D540">
        <v>2025</v>
      </c>
      <c r="E540" t="s">
        <v>60</v>
      </c>
      <c r="F540">
        <v>40</v>
      </c>
      <c r="G540" t="s">
        <v>143</v>
      </c>
    </row>
    <row r="541" spans="1:7" x14ac:dyDescent="0.35">
      <c r="A541" t="s">
        <v>18</v>
      </c>
      <c r="B541" t="s">
        <v>79</v>
      </c>
      <c r="C541" t="s">
        <v>58</v>
      </c>
      <c r="D541">
        <v>2025</v>
      </c>
      <c r="E541" t="s">
        <v>61</v>
      </c>
      <c r="F541">
        <v>60</v>
      </c>
      <c r="G541" t="s">
        <v>143</v>
      </c>
    </row>
    <row r="542" spans="1:7" x14ac:dyDescent="0.35">
      <c r="A542" t="s">
        <v>18</v>
      </c>
      <c r="B542" t="s">
        <v>79</v>
      </c>
      <c r="C542" t="s">
        <v>58</v>
      </c>
      <c r="D542">
        <v>2025</v>
      </c>
      <c r="E542" t="s">
        <v>63</v>
      </c>
      <c r="F542">
        <v>52</v>
      </c>
      <c r="G542" t="s">
        <v>143</v>
      </c>
    </row>
    <row r="543" spans="1:7" x14ac:dyDescent="0.35">
      <c r="A543" t="s">
        <v>18</v>
      </c>
      <c r="B543" t="s">
        <v>79</v>
      </c>
      <c r="C543" t="s">
        <v>58</v>
      </c>
      <c r="D543">
        <v>2025</v>
      </c>
      <c r="E543" t="s">
        <v>144</v>
      </c>
      <c r="F543">
        <v>125</v>
      </c>
      <c r="G543" t="s">
        <v>143</v>
      </c>
    </row>
    <row r="544" spans="1:7" x14ac:dyDescent="0.35">
      <c r="A544" t="s">
        <v>18</v>
      </c>
      <c r="B544" t="s">
        <v>79</v>
      </c>
      <c r="C544" t="s">
        <v>58</v>
      </c>
      <c r="D544">
        <v>2026</v>
      </c>
      <c r="E544" t="s">
        <v>60</v>
      </c>
      <c r="F544">
        <v>101</v>
      </c>
      <c r="G544" t="s">
        <v>143</v>
      </c>
    </row>
    <row r="545" spans="1:7" x14ac:dyDescent="0.35">
      <c r="A545" t="s">
        <v>18</v>
      </c>
      <c r="B545" t="s">
        <v>79</v>
      </c>
      <c r="C545" t="s">
        <v>59</v>
      </c>
      <c r="D545">
        <v>2022</v>
      </c>
      <c r="E545" t="s">
        <v>60</v>
      </c>
      <c r="F545">
        <v>-974</v>
      </c>
      <c r="G545" t="s">
        <v>143</v>
      </c>
    </row>
    <row r="546" spans="1:7" x14ac:dyDescent="0.35">
      <c r="A546" t="s">
        <v>18</v>
      </c>
      <c r="B546" t="s">
        <v>79</v>
      </c>
      <c r="C546" t="s">
        <v>59</v>
      </c>
      <c r="D546">
        <v>2022</v>
      </c>
      <c r="E546" t="s">
        <v>61</v>
      </c>
      <c r="F546">
        <v>-816</v>
      </c>
      <c r="G546" t="s">
        <v>143</v>
      </c>
    </row>
    <row r="547" spans="1:7" x14ac:dyDescent="0.35">
      <c r="A547" t="s">
        <v>18</v>
      </c>
      <c r="B547" t="s">
        <v>79</v>
      </c>
      <c r="C547" t="s">
        <v>59</v>
      </c>
      <c r="D547">
        <v>2022</v>
      </c>
      <c r="E547" t="s">
        <v>63</v>
      </c>
      <c r="F547">
        <v>-878</v>
      </c>
      <c r="G547" t="s">
        <v>143</v>
      </c>
    </row>
    <row r="548" spans="1:7" x14ac:dyDescent="0.35">
      <c r="A548" t="s">
        <v>18</v>
      </c>
      <c r="B548" t="s">
        <v>79</v>
      </c>
      <c r="C548" t="s">
        <v>59</v>
      </c>
      <c r="D548">
        <v>2022</v>
      </c>
      <c r="E548" t="s">
        <v>144</v>
      </c>
      <c r="F548">
        <v>-852</v>
      </c>
      <c r="G548" t="s">
        <v>143</v>
      </c>
    </row>
    <row r="549" spans="1:7" x14ac:dyDescent="0.35">
      <c r="A549" t="s">
        <v>18</v>
      </c>
      <c r="B549" t="s">
        <v>79</v>
      </c>
      <c r="C549" t="s">
        <v>59</v>
      </c>
      <c r="D549">
        <v>2023</v>
      </c>
      <c r="E549" t="s">
        <v>60</v>
      </c>
      <c r="F549">
        <v>-928</v>
      </c>
      <c r="G549" t="s">
        <v>143</v>
      </c>
    </row>
    <row r="550" spans="1:7" x14ac:dyDescent="0.35">
      <c r="A550" t="s">
        <v>18</v>
      </c>
      <c r="B550" t="s">
        <v>79</v>
      </c>
      <c r="C550" t="s">
        <v>59</v>
      </c>
      <c r="D550">
        <v>2023</v>
      </c>
      <c r="E550" t="s">
        <v>61</v>
      </c>
      <c r="F550">
        <v>-778</v>
      </c>
      <c r="G550" t="s">
        <v>143</v>
      </c>
    </row>
    <row r="551" spans="1:7" x14ac:dyDescent="0.35">
      <c r="A551" t="s">
        <v>18</v>
      </c>
      <c r="B551" t="s">
        <v>79</v>
      </c>
      <c r="C551" t="s">
        <v>59</v>
      </c>
      <c r="D551">
        <v>2023</v>
      </c>
      <c r="E551" t="s">
        <v>63</v>
      </c>
      <c r="F551">
        <v>-702</v>
      </c>
      <c r="G551" t="s">
        <v>143</v>
      </c>
    </row>
    <row r="552" spans="1:7" x14ac:dyDescent="0.35">
      <c r="A552" t="s">
        <v>18</v>
      </c>
      <c r="B552" t="s">
        <v>79</v>
      </c>
      <c r="C552" t="s">
        <v>59</v>
      </c>
      <c r="D552">
        <v>2023</v>
      </c>
      <c r="E552" t="s">
        <v>144</v>
      </c>
      <c r="F552">
        <v>-768</v>
      </c>
      <c r="G552" t="s">
        <v>143</v>
      </c>
    </row>
    <row r="553" spans="1:7" x14ac:dyDescent="0.35">
      <c r="A553" t="s">
        <v>18</v>
      </c>
      <c r="B553" t="s">
        <v>79</v>
      </c>
      <c r="C553" t="s">
        <v>59</v>
      </c>
      <c r="D553">
        <v>2024</v>
      </c>
      <c r="E553" t="s">
        <v>60</v>
      </c>
      <c r="F553">
        <v>-769</v>
      </c>
      <c r="G553" t="s">
        <v>143</v>
      </c>
    </row>
    <row r="554" spans="1:7" x14ac:dyDescent="0.35">
      <c r="A554" t="s">
        <v>18</v>
      </c>
      <c r="B554" t="s">
        <v>79</v>
      </c>
      <c r="C554" t="s">
        <v>59</v>
      </c>
      <c r="D554">
        <v>2024</v>
      </c>
      <c r="E554" t="s">
        <v>61</v>
      </c>
      <c r="F554">
        <v>-532</v>
      </c>
      <c r="G554" t="s">
        <v>143</v>
      </c>
    </row>
    <row r="555" spans="1:7" x14ac:dyDescent="0.35">
      <c r="A555" t="s">
        <v>18</v>
      </c>
      <c r="B555" t="s">
        <v>79</v>
      </c>
      <c r="C555" t="s">
        <v>59</v>
      </c>
      <c r="D555">
        <v>2024</v>
      </c>
      <c r="E555" t="s">
        <v>63</v>
      </c>
      <c r="F555">
        <v>-656</v>
      </c>
      <c r="G555" t="s">
        <v>143</v>
      </c>
    </row>
    <row r="556" spans="1:7" x14ac:dyDescent="0.35">
      <c r="A556" t="s">
        <v>18</v>
      </c>
      <c r="B556" t="s">
        <v>79</v>
      </c>
      <c r="C556" t="s">
        <v>59</v>
      </c>
      <c r="D556">
        <v>2024</v>
      </c>
      <c r="E556" t="s">
        <v>144</v>
      </c>
      <c r="F556">
        <v>-722</v>
      </c>
      <c r="G556" t="s">
        <v>143</v>
      </c>
    </row>
    <row r="557" spans="1:7" x14ac:dyDescent="0.35">
      <c r="A557" t="s">
        <v>18</v>
      </c>
      <c r="B557" t="s">
        <v>79</v>
      </c>
      <c r="C557" t="s">
        <v>59</v>
      </c>
      <c r="D557">
        <v>2025</v>
      </c>
      <c r="E557" t="s">
        <v>60</v>
      </c>
      <c r="F557">
        <v>-572</v>
      </c>
      <c r="G557" t="s">
        <v>143</v>
      </c>
    </row>
    <row r="558" spans="1:7" x14ac:dyDescent="0.35">
      <c r="A558" t="s">
        <v>18</v>
      </c>
      <c r="B558" t="s">
        <v>79</v>
      </c>
      <c r="C558" t="s">
        <v>59</v>
      </c>
      <c r="D558">
        <v>2025</v>
      </c>
      <c r="E558" t="s">
        <v>61</v>
      </c>
      <c r="F558">
        <v>-341</v>
      </c>
      <c r="G558" t="s">
        <v>143</v>
      </c>
    </row>
    <row r="559" spans="1:7" x14ac:dyDescent="0.35">
      <c r="A559" t="s">
        <v>18</v>
      </c>
      <c r="B559" t="s">
        <v>79</v>
      </c>
      <c r="C559" t="s">
        <v>59</v>
      </c>
      <c r="D559">
        <v>2025</v>
      </c>
      <c r="E559" t="s">
        <v>63</v>
      </c>
      <c r="F559">
        <v>-413</v>
      </c>
      <c r="G559" t="s">
        <v>143</v>
      </c>
    </row>
    <row r="560" spans="1:7" x14ac:dyDescent="0.35">
      <c r="A560" t="s">
        <v>18</v>
      </c>
      <c r="B560" t="s">
        <v>79</v>
      </c>
      <c r="C560" t="s">
        <v>59</v>
      </c>
      <c r="D560">
        <v>2025</v>
      </c>
      <c r="E560" t="s">
        <v>144</v>
      </c>
      <c r="F560">
        <v>-400</v>
      </c>
      <c r="G560" t="s">
        <v>143</v>
      </c>
    </row>
    <row r="561" spans="1:7" x14ac:dyDescent="0.35">
      <c r="A561" t="s">
        <v>18</v>
      </c>
      <c r="B561" t="s">
        <v>79</v>
      </c>
      <c r="C561" t="s">
        <v>59</v>
      </c>
      <c r="D561">
        <v>2026</v>
      </c>
      <c r="E561" t="s">
        <v>60</v>
      </c>
      <c r="F561">
        <v>-499</v>
      </c>
      <c r="G561" t="s">
        <v>143</v>
      </c>
    </row>
    <row r="562" spans="1:7" x14ac:dyDescent="0.35">
      <c r="A562" t="s">
        <v>19</v>
      </c>
      <c r="B562" t="s">
        <v>80</v>
      </c>
      <c r="C562" t="s">
        <v>57</v>
      </c>
      <c r="D562">
        <v>2022</v>
      </c>
      <c r="E562" t="s">
        <v>60</v>
      </c>
      <c r="F562">
        <v>1128</v>
      </c>
      <c r="G562" t="s">
        <v>143</v>
      </c>
    </row>
    <row r="563" spans="1:7" x14ac:dyDescent="0.35">
      <c r="A563" t="s">
        <v>19</v>
      </c>
      <c r="B563" t="s">
        <v>80</v>
      </c>
      <c r="C563" t="s">
        <v>57</v>
      </c>
      <c r="D563">
        <v>2022</v>
      </c>
      <c r="E563" t="s">
        <v>61</v>
      </c>
      <c r="F563">
        <v>1122</v>
      </c>
      <c r="G563" t="s">
        <v>143</v>
      </c>
    </row>
    <row r="564" spans="1:7" x14ac:dyDescent="0.35">
      <c r="A564" t="s">
        <v>19</v>
      </c>
      <c r="B564" t="s">
        <v>80</v>
      </c>
      <c r="C564" t="s">
        <v>57</v>
      </c>
      <c r="D564">
        <v>2022</v>
      </c>
      <c r="E564" t="s">
        <v>63</v>
      </c>
      <c r="F564">
        <v>1111</v>
      </c>
      <c r="G564" t="s">
        <v>143</v>
      </c>
    </row>
    <row r="565" spans="1:7" x14ac:dyDescent="0.35">
      <c r="A565" t="s">
        <v>19</v>
      </c>
      <c r="B565" t="s">
        <v>80</v>
      </c>
      <c r="C565" t="s">
        <v>57</v>
      </c>
      <c r="D565">
        <v>2022</v>
      </c>
      <c r="E565" t="s">
        <v>144</v>
      </c>
      <c r="F565">
        <v>1700</v>
      </c>
      <c r="G565" t="s">
        <v>143</v>
      </c>
    </row>
    <row r="566" spans="1:7" x14ac:dyDescent="0.35">
      <c r="A566" t="s">
        <v>19</v>
      </c>
      <c r="B566" t="s">
        <v>80</v>
      </c>
      <c r="C566" t="s">
        <v>57</v>
      </c>
      <c r="D566">
        <v>2023</v>
      </c>
      <c r="E566" t="s">
        <v>60</v>
      </c>
      <c r="F566">
        <v>1228</v>
      </c>
      <c r="G566" t="s">
        <v>143</v>
      </c>
    </row>
    <row r="567" spans="1:7" x14ac:dyDescent="0.35">
      <c r="A567" t="s">
        <v>19</v>
      </c>
      <c r="B567" t="s">
        <v>80</v>
      </c>
      <c r="C567" t="s">
        <v>57</v>
      </c>
      <c r="D567">
        <v>2023</v>
      </c>
      <c r="E567" t="s">
        <v>61</v>
      </c>
      <c r="F567">
        <v>1685</v>
      </c>
      <c r="G567" t="s">
        <v>143</v>
      </c>
    </row>
    <row r="568" spans="1:7" x14ac:dyDescent="0.35">
      <c r="A568" t="s">
        <v>19</v>
      </c>
      <c r="B568" t="s">
        <v>80</v>
      </c>
      <c r="C568" t="s">
        <v>57</v>
      </c>
      <c r="D568">
        <v>2023</v>
      </c>
      <c r="E568" t="s">
        <v>63</v>
      </c>
      <c r="F568">
        <v>1979</v>
      </c>
      <c r="G568" t="s">
        <v>143</v>
      </c>
    </row>
    <row r="569" spans="1:7" x14ac:dyDescent="0.35">
      <c r="A569" t="s">
        <v>19</v>
      </c>
      <c r="B569" t="s">
        <v>80</v>
      </c>
      <c r="C569" t="s">
        <v>57</v>
      </c>
      <c r="D569">
        <v>2023</v>
      </c>
      <c r="E569" t="s">
        <v>144</v>
      </c>
      <c r="F569">
        <v>2213</v>
      </c>
      <c r="G569" t="s">
        <v>143</v>
      </c>
    </row>
    <row r="570" spans="1:7" x14ac:dyDescent="0.35">
      <c r="A570" t="s">
        <v>19</v>
      </c>
      <c r="B570" t="s">
        <v>80</v>
      </c>
      <c r="C570" t="s">
        <v>57</v>
      </c>
      <c r="D570">
        <v>2024</v>
      </c>
      <c r="E570" t="s">
        <v>60</v>
      </c>
      <c r="F570">
        <v>1709</v>
      </c>
      <c r="G570" t="s">
        <v>143</v>
      </c>
    </row>
    <row r="571" spans="1:7" x14ac:dyDescent="0.35">
      <c r="A571" t="s">
        <v>19</v>
      </c>
      <c r="B571" t="s">
        <v>80</v>
      </c>
      <c r="C571" t="s">
        <v>57</v>
      </c>
      <c r="D571">
        <v>2024</v>
      </c>
      <c r="E571" t="s">
        <v>61</v>
      </c>
      <c r="F571">
        <v>2078</v>
      </c>
      <c r="G571" t="s">
        <v>143</v>
      </c>
    </row>
    <row r="572" spans="1:7" x14ac:dyDescent="0.35">
      <c r="A572" t="s">
        <v>19</v>
      </c>
      <c r="B572" t="s">
        <v>80</v>
      </c>
      <c r="C572" t="s">
        <v>57</v>
      </c>
      <c r="D572">
        <v>2024</v>
      </c>
      <c r="E572" t="s">
        <v>63</v>
      </c>
      <c r="F572">
        <v>2015</v>
      </c>
      <c r="G572" t="s">
        <v>143</v>
      </c>
    </row>
    <row r="573" spans="1:7" x14ac:dyDescent="0.35">
      <c r="A573" t="s">
        <v>19</v>
      </c>
      <c r="B573" t="s">
        <v>80</v>
      </c>
      <c r="C573" t="s">
        <v>57</v>
      </c>
      <c r="D573">
        <v>2024</v>
      </c>
      <c r="E573" t="s">
        <v>144</v>
      </c>
      <c r="F573">
        <v>2246</v>
      </c>
      <c r="G573" t="s">
        <v>143</v>
      </c>
    </row>
    <row r="574" spans="1:7" x14ac:dyDescent="0.35">
      <c r="A574" t="s">
        <v>19</v>
      </c>
      <c r="B574" t="s">
        <v>80</v>
      </c>
      <c r="C574" t="s">
        <v>57</v>
      </c>
      <c r="D574">
        <v>2025</v>
      </c>
      <c r="E574" t="s">
        <v>60</v>
      </c>
      <c r="F574">
        <v>1845</v>
      </c>
      <c r="G574" t="s">
        <v>143</v>
      </c>
    </row>
    <row r="575" spans="1:7" x14ac:dyDescent="0.35">
      <c r="A575" t="s">
        <v>19</v>
      </c>
      <c r="B575" t="s">
        <v>80</v>
      </c>
      <c r="C575" t="s">
        <v>57</v>
      </c>
      <c r="D575">
        <v>2025</v>
      </c>
      <c r="E575" t="s">
        <v>61</v>
      </c>
      <c r="F575">
        <v>3124</v>
      </c>
      <c r="G575" t="s">
        <v>143</v>
      </c>
    </row>
    <row r="576" spans="1:7" x14ac:dyDescent="0.35">
      <c r="A576" t="s">
        <v>19</v>
      </c>
      <c r="B576" t="s">
        <v>80</v>
      </c>
      <c r="C576" t="s">
        <v>57</v>
      </c>
      <c r="D576">
        <v>2025</v>
      </c>
      <c r="E576" t="s">
        <v>63</v>
      </c>
      <c r="F576">
        <v>3201</v>
      </c>
      <c r="G576" t="s">
        <v>143</v>
      </c>
    </row>
    <row r="577" spans="1:7" x14ac:dyDescent="0.35">
      <c r="A577" t="s">
        <v>19</v>
      </c>
      <c r="B577" t="s">
        <v>80</v>
      </c>
      <c r="C577" t="s">
        <v>57</v>
      </c>
      <c r="D577">
        <v>2025</v>
      </c>
      <c r="E577" t="s">
        <v>144</v>
      </c>
      <c r="F577">
        <v>3662</v>
      </c>
      <c r="G577" t="s">
        <v>143</v>
      </c>
    </row>
    <row r="578" spans="1:7" x14ac:dyDescent="0.35">
      <c r="A578" t="s">
        <v>19</v>
      </c>
      <c r="B578" t="s">
        <v>80</v>
      </c>
      <c r="C578" t="s">
        <v>57</v>
      </c>
      <c r="D578">
        <v>2026</v>
      </c>
      <c r="E578" t="s">
        <v>60</v>
      </c>
      <c r="F578">
        <v>2076.3000000000002</v>
      </c>
      <c r="G578" t="s">
        <v>143</v>
      </c>
    </row>
    <row r="579" spans="1:7" x14ac:dyDescent="0.35">
      <c r="A579" t="s">
        <v>19</v>
      </c>
      <c r="B579" t="s">
        <v>80</v>
      </c>
      <c r="C579" t="s">
        <v>58</v>
      </c>
      <c r="D579">
        <v>2022</v>
      </c>
      <c r="E579" t="s">
        <v>60</v>
      </c>
      <c r="F579">
        <v>19</v>
      </c>
      <c r="G579" t="s">
        <v>143</v>
      </c>
    </row>
    <row r="580" spans="1:7" x14ac:dyDescent="0.35">
      <c r="A580" t="s">
        <v>19</v>
      </c>
      <c r="B580" t="s">
        <v>80</v>
      </c>
      <c r="C580" t="s">
        <v>58</v>
      </c>
      <c r="D580">
        <v>2022</v>
      </c>
      <c r="E580" t="s">
        <v>61</v>
      </c>
      <c r="F580">
        <v>21</v>
      </c>
      <c r="G580" t="s">
        <v>143</v>
      </c>
    </row>
    <row r="581" spans="1:7" x14ac:dyDescent="0.35">
      <c r="A581" t="s">
        <v>19</v>
      </c>
      <c r="B581" t="s">
        <v>80</v>
      </c>
      <c r="C581" t="s">
        <v>58</v>
      </c>
      <c r="D581">
        <v>2022</v>
      </c>
      <c r="E581" t="s">
        <v>63</v>
      </c>
      <c r="F581">
        <v>32</v>
      </c>
      <c r="G581" t="s">
        <v>143</v>
      </c>
    </row>
    <row r="582" spans="1:7" x14ac:dyDescent="0.35">
      <c r="A582" t="s">
        <v>19</v>
      </c>
      <c r="B582" t="s">
        <v>80</v>
      </c>
      <c r="C582" t="s">
        <v>58</v>
      </c>
      <c r="D582">
        <v>2022</v>
      </c>
      <c r="E582" t="s">
        <v>144</v>
      </c>
      <c r="F582">
        <v>52</v>
      </c>
      <c r="G582" t="s">
        <v>143</v>
      </c>
    </row>
    <row r="583" spans="1:7" x14ac:dyDescent="0.35">
      <c r="A583" t="s">
        <v>19</v>
      </c>
      <c r="B583" t="s">
        <v>80</v>
      </c>
      <c r="C583" t="s">
        <v>58</v>
      </c>
      <c r="D583">
        <v>2023</v>
      </c>
      <c r="E583" t="s">
        <v>60</v>
      </c>
      <c r="F583">
        <v>77</v>
      </c>
      <c r="G583" t="s">
        <v>143</v>
      </c>
    </row>
    <row r="584" spans="1:7" x14ac:dyDescent="0.35">
      <c r="A584" t="s">
        <v>19</v>
      </c>
      <c r="B584" t="s">
        <v>80</v>
      </c>
      <c r="C584" t="s">
        <v>58</v>
      </c>
      <c r="D584">
        <v>2023</v>
      </c>
      <c r="E584" t="s">
        <v>61</v>
      </c>
      <c r="F584">
        <v>90</v>
      </c>
      <c r="G584" t="s">
        <v>143</v>
      </c>
    </row>
    <row r="585" spans="1:7" x14ac:dyDescent="0.35">
      <c r="A585" t="s">
        <v>19</v>
      </c>
      <c r="B585" t="s">
        <v>80</v>
      </c>
      <c r="C585" t="s">
        <v>58</v>
      </c>
      <c r="D585">
        <v>2023</v>
      </c>
      <c r="E585" t="s">
        <v>63</v>
      </c>
      <c r="F585">
        <v>87</v>
      </c>
      <c r="G585" t="s">
        <v>143</v>
      </c>
    </row>
    <row r="586" spans="1:7" x14ac:dyDescent="0.35">
      <c r="A586" t="s">
        <v>19</v>
      </c>
      <c r="B586" t="s">
        <v>80</v>
      </c>
      <c r="C586" t="s">
        <v>58</v>
      </c>
      <c r="D586">
        <v>2023</v>
      </c>
      <c r="E586" t="s">
        <v>144</v>
      </c>
      <c r="F586">
        <v>54</v>
      </c>
      <c r="G586" t="s">
        <v>143</v>
      </c>
    </row>
    <row r="587" spans="1:7" x14ac:dyDescent="0.35">
      <c r="A587" t="s">
        <v>19</v>
      </c>
      <c r="B587" t="s">
        <v>80</v>
      </c>
      <c r="C587" t="s">
        <v>58</v>
      </c>
      <c r="D587">
        <v>2024</v>
      </c>
      <c r="E587" t="s">
        <v>60</v>
      </c>
      <c r="F587">
        <v>46</v>
      </c>
      <c r="G587" t="s">
        <v>143</v>
      </c>
    </row>
    <row r="588" spans="1:7" x14ac:dyDescent="0.35">
      <c r="A588" t="s">
        <v>19</v>
      </c>
      <c r="B588" t="s">
        <v>80</v>
      </c>
      <c r="C588" t="s">
        <v>58</v>
      </c>
      <c r="D588">
        <v>2024</v>
      </c>
      <c r="E588" t="s">
        <v>61</v>
      </c>
      <c r="F588">
        <v>32</v>
      </c>
      <c r="G588" t="s">
        <v>143</v>
      </c>
    </row>
    <row r="589" spans="1:7" x14ac:dyDescent="0.35">
      <c r="A589" t="s">
        <v>19</v>
      </c>
      <c r="B589" t="s">
        <v>80</v>
      </c>
      <c r="C589" t="s">
        <v>58</v>
      </c>
      <c r="D589">
        <v>2024</v>
      </c>
      <c r="E589" t="s">
        <v>63</v>
      </c>
      <c r="F589">
        <v>46</v>
      </c>
      <c r="G589" t="s">
        <v>143</v>
      </c>
    </row>
    <row r="590" spans="1:7" x14ac:dyDescent="0.35">
      <c r="A590" t="s">
        <v>19</v>
      </c>
      <c r="B590" t="s">
        <v>80</v>
      </c>
      <c r="C590" t="s">
        <v>58</v>
      </c>
      <c r="D590">
        <v>2024</v>
      </c>
      <c r="E590" t="s">
        <v>144</v>
      </c>
      <c r="F590">
        <v>49</v>
      </c>
      <c r="G590" t="s">
        <v>143</v>
      </c>
    </row>
    <row r="591" spans="1:7" x14ac:dyDescent="0.35">
      <c r="A591" t="s">
        <v>19</v>
      </c>
      <c r="B591" t="s">
        <v>80</v>
      </c>
      <c r="C591" t="s">
        <v>58</v>
      </c>
      <c r="D591">
        <v>2025</v>
      </c>
      <c r="E591" t="s">
        <v>60</v>
      </c>
      <c r="F591">
        <v>99</v>
      </c>
      <c r="G591" t="s">
        <v>143</v>
      </c>
    </row>
    <row r="592" spans="1:7" x14ac:dyDescent="0.35">
      <c r="A592" t="s">
        <v>19</v>
      </c>
      <c r="B592" t="s">
        <v>80</v>
      </c>
      <c r="C592" t="s">
        <v>58</v>
      </c>
      <c r="D592">
        <v>2025</v>
      </c>
      <c r="E592" t="s">
        <v>61</v>
      </c>
      <c r="F592">
        <v>107</v>
      </c>
      <c r="G592" t="s">
        <v>143</v>
      </c>
    </row>
    <row r="593" spans="1:7" x14ac:dyDescent="0.35">
      <c r="A593" t="s">
        <v>19</v>
      </c>
      <c r="B593" t="s">
        <v>80</v>
      </c>
      <c r="C593" t="s">
        <v>58</v>
      </c>
      <c r="D593">
        <v>2025</v>
      </c>
      <c r="E593" t="s">
        <v>63</v>
      </c>
      <c r="F593">
        <v>325</v>
      </c>
      <c r="G593" t="s">
        <v>143</v>
      </c>
    </row>
    <row r="594" spans="1:7" x14ac:dyDescent="0.35">
      <c r="A594" t="s">
        <v>19</v>
      </c>
      <c r="B594" t="s">
        <v>80</v>
      </c>
      <c r="C594" t="s">
        <v>58</v>
      </c>
      <c r="D594">
        <v>2025</v>
      </c>
      <c r="E594" t="s">
        <v>144</v>
      </c>
      <c r="F594">
        <v>78</v>
      </c>
      <c r="G594" t="s">
        <v>143</v>
      </c>
    </row>
    <row r="595" spans="1:7" x14ac:dyDescent="0.35">
      <c r="A595" t="s">
        <v>19</v>
      </c>
      <c r="B595" t="s">
        <v>80</v>
      </c>
      <c r="C595" t="s">
        <v>58</v>
      </c>
      <c r="D595">
        <v>2026</v>
      </c>
      <c r="E595" t="s">
        <v>60</v>
      </c>
      <c r="F595">
        <v>83.7</v>
      </c>
      <c r="G595" t="s">
        <v>143</v>
      </c>
    </row>
    <row r="596" spans="1:7" x14ac:dyDescent="0.35">
      <c r="A596" t="s">
        <v>19</v>
      </c>
      <c r="B596" t="s">
        <v>80</v>
      </c>
      <c r="C596" t="s">
        <v>59</v>
      </c>
      <c r="D596">
        <v>2022</v>
      </c>
      <c r="E596" t="s">
        <v>60</v>
      </c>
      <c r="F596">
        <v>696</v>
      </c>
      <c r="G596" t="s">
        <v>143</v>
      </c>
    </row>
    <row r="597" spans="1:7" x14ac:dyDescent="0.35">
      <c r="A597" t="s">
        <v>19</v>
      </c>
      <c r="B597" t="s">
        <v>80</v>
      </c>
      <c r="C597" t="s">
        <v>59</v>
      </c>
      <c r="D597">
        <v>2022</v>
      </c>
      <c r="E597" t="s">
        <v>61</v>
      </c>
      <c r="F597">
        <v>907</v>
      </c>
      <c r="G597" t="s">
        <v>143</v>
      </c>
    </row>
    <row r="598" spans="1:7" x14ac:dyDescent="0.35">
      <c r="A598" t="s">
        <v>19</v>
      </c>
      <c r="B598" t="s">
        <v>80</v>
      </c>
      <c r="C598" t="s">
        <v>59</v>
      </c>
      <c r="D598">
        <v>2022</v>
      </c>
      <c r="E598" t="s">
        <v>63</v>
      </c>
      <c r="F598">
        <v>884</v>
      </c>
      <c r="G598" t="s">
        <v>143</v>
      </c>
    </row>
    <row r="599" spans="1:7" x14ac:dyDescent="0.35">
      <c r="A599" t="s">
        <v>19</v>
      </c>
      <c r="B599" t="s">
        <v>80</v>
      </c>
      <c r="C599" t="s">
        <v>59</v>
      </c>
      <c r="D599">
        <v>2022</v>
      </c>
      <c r="E599" t="s">
        <v>144</v>
      </c>
      <c r="F599">
        <v>664</v>
      </c>
      <c r="G599" t="s">
        <v>143</v>
      </c>
    </row>
    <row r="600" spans="1:7" x14ac:dyDescent="0.35">
      <c r="A600" t="s">
        <v>19</v>
      </c>
      <c r="B600" t="s">
        <v>80</v>
      </c>
      <c r="C600" t="s">
        <v>59</v>
      </c>
      <c r="D600">
        <v>2023</v>
      </c>
      <c r="E600" t="s">
        <v>60</v>
      </c>
      <c r="F600">
        <v>892</v>
      </c>
      <c r="G600" t="s">
        <v>143</v>
      </c>
    </row>
    <row r="601" spans="1:7" x14ac:dyDescent="0.35">
      <c r="A601" t="s">
        <v>19</v>
      </c>
      <c r="B601" t="s">
        <v>80</v>
      </c>
      <c r="C601" t="s">
        <v>59</v>
      </c>
      <c r="D601">
        <v>2023</v>
      </c>
      <c r="E601" t="s">
        <v>61</v>
      </c>
      <c r="F601">
        <v>798</v>
      </c>
      <c r="G601" t="s">
        <v>143</v>
      </c>
    </row>
    <row r="602" spans="1:7" x14ac:dyDescent="0.35">
      <c r="A602" t="s">
        <v>19</v>
      </c>
      <c r="B602" t="s">
        <v>80</v>
      </c>
      <c r="C602" t="s">
        <v>59</v>
      </c>
      <c r="D602">
        <v>2023</v>
      </c>
      <c r="E602" t="s">
        <v>63</v>
      </c>
      <c r="F602">
        <v>981</v>
      </c>
      <c r="G602" t="s">
        <v>143</v>
      </c>
    </row>
    <row r="603" spans="1:7" x14ac:dyDescent="0.35">
      <c r="A603" t="s">
        <v>19</v>
      </c>
      <c r="B603" t="s">
        <v>80</v>
      </c>
      <c r="C603" t="s">
        <v>59</v>
      </c>
      <c r="D603">
        <v>2023</v>
      </c>
      <c r="E603" t="s">
        <v>144</v>
      </c>
      <c r="F603">
        <v>979</v>
      </c>
      <c r="G603" t="s">
        <v>143</v>
      </c>
    </row>
    <row r="604" spans="1:7" x14ac:dyDescent="0.35">
      <c r="A604" t="s">
        <v>19</v>
      </c>
      <c r="B604" t="s">
        <v>80</v>
      </c>
      <c r="C604" t="s">
        <v>59</v>
      </c>
      <c r="D604">
        <v>2024</v>
      </c>
      <c r="E604" t="s">
        <v>60</v>
      </c>
      <c r="F604">
        <v>890</v>
      </c>
      <c r="G604" t="s">
        <v>143</v>
      </c>
    </row>
    <row r="605" spans="1:7" x14ac:dyDescent="0.35">
      <c r="A605" t="s">
        <v>19</v>
      </c>
      <c r="B605" t="s">
        <v>80</v>
      </c>
      <c r="C605" t="s">
        <v>59</v>
      </c>
      <c r="D605">
        <v>2024</v>
      </c>
      <c r="E605" t="s">
        <v>61</v>
      </c>
      <c r="F605">
        <v>-1135</v>
      </c>
      <c r="G605" t="s">
        <v>143</v>
      </c>
    </row>
    <row r="606" spans="1:7" x14ac:dyDescent="0.35">
      <c r="A606" t="s">
        <v>19</v>
      </c>
      <c r="B606" t="s">
        <v>80</v>
      </c>
      <c r="C606" t="s">
        <v>59</v>
      </c>
      <c r="D606">
        <v>2024</v>
      </c>
      <c r="E606" t="s">
        <v>63</v>
      </c>
      <c r="F606">
        <v>111</v>
      </c>
      <c r="G606" t="s">
        <v>143</v>
      </c>
    </row>
    <row r="607" spans="1:7" x14ac:dyDescent="0.35">
      <c r="A607" t="s">
        <v>19</v>
      </c>
      <c r="B607" t="s">
        <v>80</v>
      </c>
      <c r="C607" t="s">
        <v>59</v>
      </c>
      <c r="D607">
        <v>2024</v>
      </c>
      <c r="E607" t="s">
        <v>144</v>
      </c>
      <c r="F607">
        <v>675</v>
      </c>
      <c r="G607" t="s">
        <v>143</v>
      </c>
    </row>
    <row r="608" spans="1:7" x14ac:dyDescent="0.35">
      <c r="A608" t="s">
        <v>19</v>
      </c>
      <c r="B608" t="s">
        <v>80</v>
      </c>
      <c r="C608" t="s">
        <v>59</v>
      </c>
      <c r="D608">
        <v>2025</v>
      </c>
      <c r="E608" t="s">
        <v>60</v>
      </c>
      <c r="F608">
        <v>739</v>
      </c>
      <c r="G608" t="s">
        <v>143</v>
      </c>
    </row>
    <row r="609" spans="1:7" x14ac:dyDescent="0.35">
      <c r="A609" t="s">
        <v>19</v>
      </c>
      <c r="B609" t="s">
        <v>80</v>
      </c>
      <c r="C609" t="s">
        <v>59</v>
      </c>
      <c r="D609">
        <v>2025</v>
      </c>
      <c r="E609" t="s">
        <v>61</v>
      </c>
      <c r="F609">
        <v>3062</v>
      </c>
      <c r="G609" t="s">
        <v>143</v>
      </c>
    </row>
    <row r="610" spans="1:7" x14ac:dyDescent="0.35">
      <c r="A610" t="s">
        <v>19</v>
      </c>
      <c r="B610" t="s">
        <v>80</v>
      </c>
      <c r="C610" t="s">
        <v>59</v>
      </c>
      <c r="D610">
        <v>2025</v>
      </c>
      <c r="E610" t="s">
        <v>63</v>
      </c>
      <c r="F610">
        <v>1205</v>
      </c>
      <c r="G610" t="s">
        <v>143</v>
      </c>
    </row>
    <row r="611" spans="1:7" x14ac:dyDescent="0.35">
      <c r="A611" t="s">
        <v>19</v>
      </c>
      <c r="B611" t="s">
        <v>80</v>
      </c>
      <c r="C611" t="s">
        <v>59</v>
      </c>
      <c r="D611">
        <v>2025</v>
      </c>
      <c r="E611" t="s">
        <v>144</v>
      </c>
      <c r="F611">
        <v>610</v>
      </c>
      <c r="G611" t="s">
        <v>143</v>
      </c>
    </row>
    <row r="612" spans="1:7" x14ac:dyDescent="0.35">
      <c r="A612" t="s">
        <v>19</v>
      </c>
      <c r="B612" t="s">
        <v>80</v>
      </c>
      <c r="C612" t="s">
        <v>59</v>
      </c>
      <c r="D612">
        <v>2026</v>
      </c>
      <c r="E612" t="s">
        <v>60</v>
      </c>
      <c r="F612">
        <v>1106.7</v>
      </c>
      <c r="G612" t="s">
        <v>143</v>
      </c>
    </row>
    <row r="613" spans="1:7" x14ac:dyDescent="0.35">
      <c r="A613" t="s">
        <v>100</v>
      </c>
      <c r="B613" t="s">
        <v>101</v>
      </c>
      <c r="C613" t="s">
        <v>57</v>
      </c>
      <c r="D613">
        <v>2025</v>
      </c>
      <c r="E613" t="s">
        <v>144</v>
      </c>
      <c r="F613">
        <v>4886</v>
      </c>
      <c r="G613" t="s">
        <v>143</v>
      </c>
    </row>
    <row r="614" spans="1:7" x14ac:dyDescent="0.35">
      <c r="A614" t="s">
        <v>100</v>
      </c>
      <c r="B614" t="s">
        <v>101</v>
      </c>
      <c r="C614" t="s">
        <v>57</v>
      </c>
      <c r="D614">
        <v>2026</v>
      </c>
      <c r="E614" t="s">
        <v>60</v>
      </c>
      <c r="F614">
        <v>3023</v>
      </c>
      <c r="G614" t="s">
        <v>143</v>
      </c>
    </row>
    <row r="615" spans="1:7" x14ac:dyDescent="0.35">
      <c r="A615" t="s">
        <v>100</v>
      </c>
      <c r="B615" t="s">
        <v>101</v>
      </c>
      <c r="C615" t="s">
        <v>58</v>
      </c>
      <c r="D615">
        <v>2025</v>
      </c>
      <c r="E615" t="s">
        <v>144</v>
      </c>
      <c r="F615">
        <v>306</v>
      </c>
      <c r="G615" t="s">
        <v>143</v>
      </c>
    </row>
    <row r="616" spans="1:7" x14ac:dyDescent="0.35">
      <c r="A616" t="s">
        <v>100</v>
      </c>
      <c r="B616" t="s">
        <v>101</v>
      </c>
      <c r="C616" t="s">
        <v>58</v>
      </c>
      <c r="D616">
        <v>2026</v>
      </c>
      <c r="E616" t="s">
        <v>60</v>
      </c>
      <c r="F616">
        <v>130</v>
      </c>
      <c r="G616" t="s">
        <v>143</v>
      </c>
    </row>
    <row r="617" spans="1:7" x14ac:dyDescent="0.35">
      <c r="A617" t="s">
        <v>100</v>
      </c>
      <c r="B617" t="s">
        <v>101</v>
      </c>
      <c r="C617" t="s">
        <v>59</v>
      </c>
      <c r="D617">
        <v>2025</v>
      </c>
      <c r="E617" t="s">
        <v>144</v>
      </c>
      <c r="F617">
        <v>156</v>
      </c>
      <c r="G617" t="s">
        <v>143</v>
      </c>
    </row>
    <row r="618" spans="1:7" x14ac:dyDescent="0.35">
      <c r="A618" t="s">
        <v>100</v>
      </c>
      <c r="B618" t="s">
        <v>101</v>
      </c>
      <c r="C618" t="s">
        <v>59</v>
      </c>
      <c r="D618">
        <v>2026</v>
      </c>
      <c r="E618" t="s">
        <v>60</v>
      </c>
      <c r="F618">
        <v>-12.8</v>
      </c>
      <c r="G618" t="s">
        <v>143</v>
      </c>
    </row>
    <row r="619" spans="1:7" x14ac:dyDescent="0.35">
      <c r="A619" t="s">
        <v>163</v>
      </c>
      <c r="B619" t="s">
        <v>164</v>
      </c>
      <c r="C619" t="s">
        <v>57</v>
      </c>
      <c r="D619">
        <v>2022</v>
      </c>
      <c r="E619" t="s">
        <v>60</v>
      </c>
      <c r="F619">
        <v>955</v>
      </c>
      <c r="G619" t="s">
        <v>143</v>
      </c>
    </row>
    <row r="620" spans="1:7" x14ac:dyDescent="0.35">
      <c r="A620" t="s">
        <v>163</v>
      </c>
      <c r="B620" t="s">
        <v>164</v>
      </c>
      <c r="C620" t="s">
        <v>57</v>
      </c>
      <c r="D620">
        <v>2022</v>
      </c>
      <c r="E620" t="s">
        <v>61</v>
      </c>
      <c r="F620">
        <v>1069</v>
      </c>
      <c r="G620" t="s">
        <v>143</v>
      </c>
    </row>
    <row r="621" spans="1:7" x14ac:dyDescent="0.35">
      <c r="A621" t="s">
        <v>163</v>
      </c>
      <c r="B621" t="s">
        <v>164</v>
      </c>
      <c r="C621" t="s">
        <v>57</v>
      </c>
      <c r="D621">
        <v>2022</v>
      </c>
      <c r="E621" t="s">
        <v>63</v>
      </c>
      <c r="F621">
        <v>848</v>
      </c>
      <c r="G621" t="s">
        <v>143</v>
      </c>
    </row>
    <row r="622" spans="1:7" x14ac:dyDescent="0.35">
      <c r="A622" t="s">
        <v>163</v>
      </c>
      <c r="B622" t="s">
        <v>164</v>
      </c>
      <c r="C622" t="s">
        <v>57</v>
      </c>
      <c r="D622">
        <v>2022</v>
      </c>
      <c r="E622" t="s">
        <v>144</v>
      </c>
      <c r="F622">
        <v>1196</v>
      </c>
      <c r="G622" t="s">
        <v>143</v>
      </c>
    </row>
    <row r="623" spans="1:7" x14ac:dyDescent="0.35">
      <c r="A623" t="s">
        <v>163</v>
      </c>
      <c r="B623" t="s">
        <v>164</v>
      </c>
      <c r="C623" t="s">
        <v>57</v>
      </c>
      <c r="D623">
        <v>2023</v>
      </c>
      <c r="E623" t="s">
        <v>60</v>
      </c>
      <c r="F623">
        <v>918</v>
      </c>
      <c r="G623" t="s">
        <v>143</v>
      </c>
    </row>
    <row r="624" spans="1:7" x14ac:dyDescent="0.35">
      <c r="A624" t="s">
        <v>163</v>
      </c>
      <c r="B624" t="s">
        <v>164</v>
      </c>
      <c r="C624" t="s">
        <v>57</v>
      </c>
      <c r="D624">
        <v>2023</v>
      </c>
      <c r="E624" t="s">
        <v>61</v>
      </c>
      <c r="F624">
        <v>1241</v>
      </c>
      <c r="G624" t="s">
        <v>143</v>
      </c>
    </row>
    <row r="625" spans="1:7" x14ac:dyDescent="0.35">
      <c r="A625" t="s">
        <v>163</v>
      </c>
      <c r="B625" t="s">
        <v>164</v>
      </c>
      <c r="C625" t="s">
        <v>57</v>
      </c>
      <c r="D625">
        <v>2023</v>
      </c>
      <c r="E625" t="s">
        <v>63</v>
      </c>
      <c r="F625">
        <v>880</v>
      </c>
      <c r="G625" t="s">
        <v>143</v>
      </c>
    </row>
    <row r="626" spans="1:7" x14ac:dyDescent="0.35">
      <c r="A626" t="s">
        <v>163</v>
      </c>
      <c r="B626" t="s">
        <v>164</v>
      </c>
      <c r="C626" t="s">
        <v>57</v>
      </c>
      <c r="D626">
        <v>2023</v>
      </c>
      <c r="E626" t="s">
        <v>144</v>
      </c>
      <c r="F626">
        <v>1294</v>
      </c>
      <c r="G626" t="s">
        <v>143</v>
      </c>
    </row>
    <row r="627" spans="1:7" x14ac:dyDescent="0.35">
      <c r="A627" t="s">
        <v>163</v>
      </c>
      <c r="B627" t="s">
        <v>164</v>
      </c>
      <c r="C627" t="s">
        <v>57</v>
      </c>
      <c r="D627">
        <v>2024</v>
      </c>
      <c r="E627" t="s">
        <v>60</v>
      </c>
      <c r="F627">
        <v>870</v>
      </c>
      <c r="G627" t="s">
        <v>143</v>
      </c>
    </row>
    <row r="628" spans="1:7" x14ac:dyDescent="0.35">
      <c r="A628" t="s">
        <v>163</v>
      </c>
      <c r="B628" t="s">
        <v>164</v>
      </c>
      <c r="C628" t="s">
        <v>57</v>
      </c>
      <c r="D628">
        <v>2024</v>
      </c>
      <c r="E628" t="s">
        <v>61</v>
      </c>
      <c r="F628">
        <v>1129</v>
      </c>
      <c r="G628" t="s">
        <v>143</v>
      </c>
    </row>
    <row r="629" spans="1:7" x14ac:dyDescent="0.35">
      <c r="A629" t="s">
        <v>163</v>
      </c>
      <c r="B629" t="s">
        <v>164</v>
      </c>
      <c r="C629" t="s">
        <v>57</v>
      </c>
      <c r="D629">
        <v>2024</v>
      </c>
      <c r="E629" t="s">
        <v>63</v>
      </c>
      <c r="F629">
        <v>1009</v>
      </c>
      <c r="G629" t="s">
        <v>143</v>
      </c>
    </row>
    <row r="630" spans="1:7" x14ac:dyDescent="0.35">
      <c r="A630" t="s">
        <v>163</v>
      </c>
      <c r="B630" t="s">
        <v>164</v>
      </c>
      <c r="C630" t="s">
        <v>57</v>
      </c>
      <c r="D630">
        <v>2024</v>
      </c>
      <c r="E630" t="s">
        <v>144</v>
      </c>
      <c r="F630">
        <v>1379</v>
      </c>
      <c r="G630" t="s">
        <v>143</v>
      </c>
    </row>
    <row r="631" spans="1:7" x14ac:dyDescent="0.35">
      <c r="A631" t="s">
        <v>163</v>
      </c>
      <c r="B631" t="s">
        <v>164</v>
      </c>
      <c r="C631" t="s">
        <v>57</v>
      </c>
      <c r="D631">
        <v>2025</v>
      </c>
      <c r="E631" t="s">
        <v>60</v>
      </c>
      <c r="F631">
        <v>992</v>
      </c>
      <c r="G631" t="s">
        <v>143</v>
      </c>
    </row>
    <row r="632" spans="1:7" x14ac:dyDescent="0.35">
      <c r="A632" t="s">
        <v>163</v>
      </c>
      <c r="B632" t="s">
        <v>164</v>
      </c>
      <c r="C632" t="s">
        <v>57</v>
      </c>
      <c r="D632">
        <v>2025</v>
      </c>
      <c r="E632" t="s">
        <v>61</v>
      </c>
      <c r="F632">
        <v>1210</v>
      </c>
      <c r="G632" t="s">
        <v>143</v>
      </c>
    </row>
    <row r="633" spans="1:7" x14ac:dyDescent="0.35">
      <c r="A633" t="s">
        <v>163</v>
      </c>
      <c r="B633" t="s">
        <v>164</v>
      </c>
      <c r="C633" t="s">
        <v>57</v>
      </c>
      <c r="D633">
        <v>2025</v>
      </c>
      <c r="E633" t="s">
        <v>63</v>
      </c>
      <c r="F633">
        <v>1074</v>
      </c>
      <c r="G633" t="s">
        <v>143</v>
      </c>
    </row>
    <row r="634" spans="1:7" x14ac:dyDescent="0.35">
      <c r="A634" t="s">
        <v>163</v>
      </c>
      <c r="B634" t="s">
        <v>164</v>
      </c>
      <c r="C634" t="s">
        <v>57</v>
      </c>
      <c r="D634">
        <v>2025</v>
      </c>
      <c r="E634" t="s">
        <v>144</v>
      </c>
      <c r="F634">
        <v>2132</v>
      </c>
      <c r="G634" t="s">
        <v>143</v>
      </c>
    </row>
    <row r="635" spans="1:7" x14ac:dyDescent="0.35">
      <c r="A635" t="s">
        <v>163</v>
      </c>
      <c r="B635" t="s">
        <v>164</v>
      </c>
      <c r="C635" t="s">
        <v>57</v>
      </c>
      <c r="D635">
        <v>2026</v>
      </c>
      <c r="E635" t="s">
        <v>60</v>
      </c>
      <c r="F635">
        <v>913</v>
      </c>
      <c r="G635" t="s">
        <v>143</v>
      </c>
    </row>
    <row r="636" spans="1:7" x14ac:dyDescent="0.35">
      <c r="A636" t="s">
        <v>163</v>
      </c>
      <c r="B636" t="s">
        <v>164</v>
      </c>
      <c r="C636" t="s">
        <v>58</v>
      </c>
      <c r="D636">
        <v>2022</v>
      </c>
      <c r="E636" t="s">
        <v>60</v>
      </c>
      <c r="F636">
        <v>47</v>
      </c>
      <c r="G636" t="s">
        <v>143</v>
      </c>
    </row>
    <row r="637" spans="1:7" x14ac:dyDescent="0.35">
      <c r="A637" t="s">
        <v>163</v>
      </c>
      <c r="B637" t="s">
        <v>164</v>
      </c>
      <c r="C637" t="s">
        <v>58</v>
      </c>
      <c r="D637">
        <v>2022</v>
      </c>
      <c r="E637" t="s">
        <v>61</v>
      </c>
      <c r="F637">
        <v>113</v>
      </c>
      <c r="G637" t="s">
        <v>143</v>
      </c>
    </row>
    <row r="638" spans="1:7" x14ac:dyDescent="0.35">
      <c r="A638" t="s">
        <v>163</v>
      </c>
      <c r="B638" t="s">
        <v>164</v>
      </c>
      <c r="C638" t="s">
        <v>58</v>
      </c>
      <c r="D638">
        <v>2022</v>
      </c>
      <c r="E638" t="s">
        <v>63</v>
      </c>
      <c r="F638">
        <v>57</v>
      </c>
      <c r="G638" t="s">
        <v>143</v>
      </c>
    </row>
    <row r="639" spans="1:7" x14ac:dyDescent="0.35">
      <c r="A639" t="s">
        <v>163</v>
      </c>
      <c r="B639" t="s">
        <v>164</v>
      </c>
      <c r="C639" t="s">
        <v>58</v>
      </c>
      <c r="D639">
        <v>2022</v>
      </c>
      <c r="E639" t="s">
        <v>144</v>
      </c>
      <c r="F639">
        <v>108</v>
      </c>
      <c r="G639" t="s">
        <v>143</v>
      </c>
    </row>
    <row r="640" spans="1:7" x14ac:dyDescent="0.35">
      <c r="A640" t="s">
        <v>163</v>
      </c>
      <c r="B640" t="s">
        <v>164</v>
      </c>
      <c r="C640" t="s">
        <v>58</v>
      </c>
      <c r="D640">
        <v>2023</v>
      </c>
      <c r="E640" t="s">
        <v>60</v>
      </c>
      <c r="F640">
        <v>47</v>
      </c>
      <c r="G640" t="s">
        <v>143</v>
      </c>
    </row>
    <row r="641" spans="1:7" x14ac:dyDescent="0.35">
      <c r="A641" t="s">
        <v>163</v>
      </c>
      <c r="B641" t="s">
        <v>164</v>
      </c>
      <c r="C641" t="s">
        <v>58</v>
      </c>
      <c r="D641">
        <v>2023</v>
      </c>
      <c r="E641" t="s">
        <v>61</v>
      </c>
      <c r="F641">
        <v>15</v>
      </c>
      <c r="G641" t="s">
        <v>143</v>
      </c>
    </row>
    <row r="642" spans="1:7" x14ac:dyDescent="0.35">
      <c r="A642" t="s">
        <v>163</v>
      </c>
      <c r="B642" t="s">
        <v>164</v>
      </c>
      <c r="C642" t="s">
        <v>58</v>
      </c>
      <c r="D642">
        <v>2023</v>
      </c>
      <c r="E642" t="s">
        <v>63</v>
      </c>
      <c r="F642">
        <v>32</v>
      </c>
      <c r="G642" t="s">
        <v>143</v>
      </c>
    </row>
    <row r="643" spans="1:7" x14ac:dyDescent="0.35">
      <c r="A643" t="s">
        <v>163</v>
      </c>
      <c r="B643" t="s">
        <v>164</v>
      </c>
      <c r="C643" t="s">
        <v>58</v>
      </c>
      <c r="D643">
        <v>2023</v>
      </c>
      <c r="E643" t="s">
        <v>144</v>
      </c>
      <c r="F643">
        <v>59</v>
      </c>
      <c r="G643" t="s">
        <v>143</v>
      </c>
    </row>
    <row r="644" spans="1:7" x14ac:dyDescent="0.35">
      <c r="A644" t="s">
        <v>163</v>
      </c>
      <c r="B644" t="s">
        <v>164</v>
      </c>
      <c r="C644" t="s">
        <v>58</v>
      </c>
      <c r="D644">
        <v>2024</v>
      </c>
      <c r="E644" t="s">
        <v>60</v>
      </c>
      <c r="F644">
        <v>12</v>
      </c>
      <c r="G644" t="s">
        <v>143</v>
      </c>
    </row>
    <row r="645" spans="1:7" x14ac:dyDescent="0.35">
      <c r="A645" t="s">
        <v>163</v>
      </c>
      <c r="B645" t="s">
        <v>164</v>
      </c>
      <c r="C645" t="s">
        <v>58</v>
      </c>
      <c r="D645">
        <v>2024</v>
      </c>
      <c r="E645" t="s">
        <v>61</v>
      </c>
      <c r="F645">
        <v>18</v>
      </c>
      <c r="G645" t="s">
        <v>143</v>
      </c>
    </row>
    <row r="646" spans="1:7" x14ac:dyDescent="0.35">
      <c r="A646" t="s">
        <v>163</v>
      </c>
      <c r="B646" t="s">
        <v>164</v>
      </c>
      <c r="C646" t="s">
        <v>58</v>
      </c>
      <c r="D646">
        <v>2024</v>
      </c>
      <c r="E646" t="s">
        <v>63</v>
      </c>
      <c r="F646">
        <v>40</v>
      </c>
      <c r="G646" t="s">
        <v>143</v>
      </c>
    </row>
    <row r="647" spans="1:7" x14ac:dyDescent="0.35">
      <c r="A647" t="s">
        <v>163</v>
      </c>
      <c r="B647" t="s">
        <v>164</v>
      </c>
      <c r="C647" t="s">
        <v>58</v>
      </c>
      <c r="D647">
        <v>2024</v>
      </c>
      <c r="E647" t="s">
        <v>144</v>
      </c>
      <c r="F647">
        <v>110</v>
      </c>
      <c r="G647" t="s">
        <v>143</v>
      </c>
    </row>
    <row r="648" spans="1:7" x14ac:dyDescent="0.35">
      <c r="A648" t="s">
        <v>163</v>
      </c>
      <c r="B648" t="s">
        <v>164</v>
      </c>
      <c r="C648" t="s">
        <v>58</v>
      </c>
      <c r="D648">
        <v>2025</v>
      </c>
      <c r="E648" t="s">
        <v>60</v>
      </c>
      <c r="F648">
        <v>7</v>
      </c>
      <c r="G648" t="s">
        <v>143</v>
      </c>
    </row>
    <row r="649" spans="1:7" x14ac:dyDescent="0.35">
      <c r="A649" t="s">
        <v>163</v>
      </c>
      <c r="B649" t="s">
        <v>164</v>
      </c>
      <c r="C649" t="s">
        <v>58</v>
      </c>
      <c r="D649">
        <v>2025</v>
      </c>
      <c r="E649" t="s">
        <v>61</v>
      </c>
      <c r="F649">
        <v>31</v>
      </c>
      <c r="G649" t="s">
        <v>143</v>
      </c>
    </row>
    <row r="650" spans="1:7" x14ac:dyDescent="0.35">
      <c r="A650" t="s">
        <v>163</v>
      </c>
      <c r="B650" t="s">
        <v>164</v>
      </c>
      <c r="C650" t="s">
        <v>58</v>
      </c>
      <c r="D650">
        <v>2025</v>
      </c>
      <c r="E650" t="s">
        <v>63</v>
      </c>
      <c r="F650">
        <v>32</v>
      </c>
      <c r="G650" t="s">
        <v>143</v>
      </c>
    </row>
    <row r="651" spans="1:7" x14ac:dyDescent="0.35">
      <c r="A651" t="s">
        <v>163</v>
      </c>
      <c r="B651" t="s">
        <v>164</v>
      </c>
      <c r="C651" t="s">
        <v>58</v>
      </c>
      <c r="D651">
        <v>2026</v>
      </c>
      <c r="E651" t="s">
        <v>60</v>
      </c>
      <c r="F651">
        <v>25</v>
      </c>
      <c r="G651" t="s">
        <v>143</v>
      </c>
    </row>
    <row r="652" spans="1:7" x14ac:dyDescent="0.35">
      <c r="A652" t="s">
        <v>20</v>
      </c>
      <c r="B652" t="s">
        <v>81</v>
      </c>
      <c r="C652" t="s">
        <v>57</v>
      </c>
      <c r="D652">
        <v>2022</v>
      </c>
      <c r="E652" t="s">
        <v>60</v>
      </c>
      <c r="F652">
        <v>2988</v>
      </c>
      <c r="G652" t="s">
        <v>143</v>
      </c>
    </row>
    <row r="653" spans="1:7" x14ac:dyDescent="0.35">
      <c r="A653" t="s">
        <v>20</v>
      </c>
      <c r="B653" t="s">
        <v>81</v>
      </c>
      <c r="C653" t="s">
        <v>57</v>
      </c>
      <c r="D653">
        <v>2022</v>
      </c>
      <c r="E653" t="s">
        <v>61</v>
      </c>
      <c r="F653">
        <v>3213</v>
      </c>
      <c r="G653" t="s">
        <v>143</v>
      </c>
    </row>
    <row r="654" spans="1:7" x14ac:dyDescent="0.35">
      <c r="A654" t="s">
        <v>20</v>
      </c>
      <c r="B654" t="s">
        <v>81</v>
      </c>
      <c r="C654" t="s">
        <v>57</v>
      </c>
      <c r="D654">
        <v>2022</v>
      </c>
      <c r="E654" t="s">
        <v>63</v>
      </c>
      <c r="F654">
        <v>4016</v>
      </c>
      <c r="G654" t="s">
        <v>143</v>
      </c>
    </row>
    <row r="655" spans="1:7" x14ac:dyDescent="0.35">
      <c r="A655" t="s">
        <v>20</v>
      </c>
      <c r="B655" t="s">
        <v>81</v>
      </c>
      <c r="C655" t="s">
        <v>57</v>
      </c>
      <c r="D655">
        <v>2022</v>
      </c>
      <c r="E655" t="s">
        <v>144</v>
      </c>
      <c r="F655">
        <v>3729</v>
      </c>
      <c r="G655" t="s">
        <v>143</v>
      </c>
    </row>
    <row r="656" spans="1:7" x14ac:dyDescent="0.35">
      <c r="A656" t="s">
        <v>20</v>
      </c>
      <c r="B656" t="s">
        <v>81</v>
      </c>
      <c r="C656" t="s">
        <v>57</v>
      </c>
      <c r="D656">
        <v>2023</v>
      </c>
      <c r="E656" t="s">
        <v>60</v>
      </c>
      <c r="F656">
        <v>3777</v>
      </c>
      <c r="G656" t="s">
        <v>143</v>
      </c>
    </row>
    <row r="657" spans="1:7" x14ac:dyDescent="0.35">
      <c r="A657" t="s">
        <v>20</v>
      </c>
      <c r="B657" t="s">
        <v>81</v>
      </c>
      <c r="C657" t="s">
        <v>57</v>
      </c>
      <c r="D657">
        <v>2023</v>
      </c>
      <c r="E657" t="s">
        <v>61</v>
      </c>
      <c r="F657">
        <v>3756</v>
      </c>
      <c r="G657" t="s">
        <v>143</v>
      </c>
    </row>
    <row r="658" spans="1:7" x14ac:dyDescent="0.35">
      <c r="A658" t="s">
        <v>20</v>
      </c>
      <c r="B658" t="s">
        <v>81</v>
      </c>
      <c r="C658" t="s">
        <v>57</v>
      </c>
      <c r="D658">
        <v>2023</v>
      </c>
      <c r="E658" t="s">
        <v>63</v>
      </c>
      <c r="F658">
        <v>4294</v>
      </c>
      <c r="G658" t="s">
        <v>143</v>
      </c>
    </row>
    <row r="659" spans="1:7" x14ac:dyDescent="0.35">
      <c r="A659" t="s">
        <v>20</v>
      </c>
      <c r="B659" t="s">
        <v>81</v>
      </c>
      <c r="C659" t="s">
        <v>57</v>
      </c>
      <c r="D659">
        <v>2023</v>
      </c>
      <c r="E659" t="s">
        <v>144</v>
      </c>
      <c r="F659">
        <v>3973</v>
      </c>
      <c r="G659" t="s">
        <v>143</v>
      </c>
    </row>
    <row r="660" spans="1:7" x14ac:dyDescent="0.35">
      <c r="A660" t="s">
        <v>20</v>
      </c>
      <c r="B660" t="s">
        <v>81</v>
      </c>
      <c r="C660" t="s">
        <v>57</v>
      </c>
      <c r="D660">
        <v>2024</v>
      </c>
      <c r="E660" t="s">
        <v>60</v>
      </c>
      <c r="F660">
        <v>3825</v>
      </c>
      <c r="G660" t="s">
        <v>143</v>
      </c>
    </row>
    <row r="661" spans="1:7" x14ac:dyDescent="0.35">
      <c r="A661" t="s">
        <v>20</v>
      </c>
      <c r="B661" t="s">
        <v>81</v>
      </c>
      <c r="C661" t="s">
        <v>57</v>
      </c>
      <c r="D661">
        <v>2024</v>
      </c>
      <c r="E661" t="s">
        <v>61</v>
      </c>
      <c r="F661">
        <v>3958</v>
      </c>
      <c r="G661" t="s">
        <v>143</v>
      </c>
    </row>
    <row r="662" spans="1:7" x14ac:dyDescent="0.35">
      <c r="A662" t="s">
        <v>20</v>
      </c>
      <c r="B662" t="s">
        <v>81</v>
      </c>
      <c r="C662" t="s">
        <v>57</v>
      </c>
      <c r="D662">
        <v>2024</v>
      </c>
      <c r="E662" t="s">
        <v>63</v>
      </c>
      <c r="F662">
        <v>4308</v>
      </c>
      <c r="G662" t="s">
        <v>143</v>
      </c>
    </row>
    <row r="663" spans="1:7" x14ac:dyDescent="0.35">
      <c r="A663" t="s">
        <v>20</v>
      </c>
      <c r="B663" t="s">
        <v>81</v>
      </c>
      <c r="C663" t="s">
        <v>57</v>
      </c>
      <c r="D663">
        <v>2024</v>
      </c>
      <c r="E663" t="s">
        <v>144</v>
      </c>
      <c r="F663">
        <v>4327</v>
      </c>
      <c r="G663" t="s">
        <v>143</v>
      </c>
    </row>
    <row r="664" spans="1:7" x14ac:dyDescent="0.35">
      <c r="A664" t="s">
        <v>20</v>
      </c>
      <c r="B664" t="s">
        <v>81</v>
      </c>
      <c r="C664" t="s">
        <v>57</v>
      </c>
      <c r="D664">
        <v>2025</v>
      </c>
      <c r="E664" t="s">
        <v>60</v>
      </c>
      <c r="F664">
        <v>4158</v>
      </c>
      <c r="G664" t="s">
        <v>143</v>
      </c>
    </row>
    <row r="665" spans="1:7" x14ac:dyDescent="0.35">
      <c r="A665" t="s">
        <v>20</v>
      </c>
      <c r="B665" t="s">
        <v>81</v>
      </c>
      <c r="C665" t="s">
        <v>57</v>
      </c>
      <c r="D665">
        <v>2025</v>
      </c>
      <c r="E665" t="s">
        <v>61</v>
      </c>
      <c r="F665">
        <v>4569</v>
      </c>
      <c r="G665" t="s">
        <v>143</v>
      </c>
    </row>
    <row r="666" spans="1:7" x14ac:dyDescent="0.35">
      <c r="A666" t="s">
        <v>20</v>
      </c>
      <c r="B666" t="s">
        <v>81</v>
      </c>
      <c r="C666" t="s">
        <v>57</v>
      </c>
      <c r="D666">
        <v>2025</v>
      </c>
      <c r="E666" t="s">
        <v>63</v>
      </c>
      <c r="F666">
        <v>4867</v>
      </c>
      <c r="G666" t="s">
        <v>143</v>
      </c>
    </row>
    <row r="667" spans="1:7" x14ac:dyDescent="0.35">
      <c r="A667" t="s">
        <v>20</v>
      </c>
      <c r="B667" t="s">
        <v>81</v>
      </c>
      <c r="C667" t="s">
        <v>57</v>
      </c>
      <c r="D667">
        <v>2025</v>
      </c>
      <c r="E667" t="s">
        <v>144</v>
      </c>
      <c r="F667">
        <v>4940</v>
      </c>
      <c r="G667" t="s">
        <v>143</v>
      </c>
    </row>
    <row r="668" spans="1:7" x14ac:dyDescent="0.35">
      <c r="A668" t="s">
        <v>20</v>
      </c>
      <c r="B668" t="s">
        <v>81</v>
      </c>
      <c r="C668" t="s">
        <v>57</v>
      </c>
      <c r="D668">
        <v>2026</v>
      </c>
      <c r="E668" t="s">
        <v>60</v>
      </c>
      <c r="F668">
        <v>4818</v>
      </c>
      <c r="G668" t="s">
        <v>143</v>
      </c>
    </row>
    <row r="669" spans="1:7" x14ac:dyDescent="0.35">
      <c r="A669" t="s">
        <v>20</v>
      </c>
      <c r="B669" t="s">
        <v>81</v>
      </c>
      <c r="C669" t="s">
        <v>58</v>
      </c>
      <c r="D669">
        <v>2022</v>
      </c>
      <c r="E669" t="s">
        <v>60</v>
      </c>
      <c r="F669">
        <v>207</v>
      </c>
      <c r="G669" t="s">
        <v>143</v>
      </c>
    </row>
    <row r="670" spans="1:7" x14ac:dyDescent="0.35">
      <c r="A670" t="s">
        <v>20</v>
      </c>
      <c r="B670" t="s">
        <v>81</v>
      </c>
      <c r="C670" t="s">
        <v>58</v>
      </c>
      <c r="D670">
        <v>2022</v>
      </c>
      <c r="E670" t="s">
        <v>61</v>
      </c>
      <c r="F670">
        <v>311</v>
      </c>
      <c r="G670" t="s">
        <v>143</v>
      </c>
    </row>
    <row r="671" spans="1:7" x14ac:dyDescent="0.35">
      <c r="A671" t="s">
        <v>20</v>
      </c>
      <c r="B671" t="s">
        <v>81</v>
      </c>
      <c r="C671" t="s">
        <v>58</v>
      </c>
      <c r="D671">
        <v>2022</v>
      </c>
      <c r="E671" t="s">
        <v>63</v>
      </c>
      <c r="F671">
        <v>291</v>
      </c>
      <c r="G671" t="s">
        <v>143</v>
      </c>
    </row>
    <row r="672" spans="1:7" x14ac:dyDescent="0.35">
      <c r="A672" t="s">
        <v>20</v>
      </c>
      <c r="B672" t="s">
        <v>81</v>
      </c>
      <c r="C672" t="s">
        <v>58</v>
      </c>
      <c r="D672">
        <v>2022</v>
      </c>
      <c r="E672" t="s">
        <v>144</v>
      </c>
      <c r="F672">
        <v>364</v>
      </c>
      <c r="G672" t="s">
        <v>143</v>
      </c>
    </row>
    <row r="673" spans="1:7" x14ac:dyDescent="0.35">
      <c r="A673" t="s">
        <v>20</v>
      </c>
      <c r="B673" t="s">
        <v>81</v>
      </c>
      <c r="C673" t="s">
        <v>58</v>
      </c>
      <c r="D673">
        <v>2023</v>
      </c>
      <c r="E673" t="s">
        <v>60</v>
      </c>
      <c r="F673">
        <v>279</v>
      </c>
      <c r="G673" t="s">
        <v>143</v>
      </c>
    </row>
    <row r="674" spans="1:7" x14ac:dyDescent="0.35">
      <c r="A674" t="s">
        <v>20</v>
      </c>
      <c r="B674" t="s">
        <v>81</v>
      </c>
      <c r="C674" t="s">
        <v>58</v>
      </c>
      <c r="D674">
        <v>2023</v>
      </c>
      <c r="E674" t="s">
        <v>61</v>
      </c>
      <c r="F674">
        <v>303</v>
      </c>
      <c r="G674" t="s">
        <v>143</v>
      </c>
    </row>
    <row r="675" spans="1:7" x14ac:dyDescent="0.35">
      <c r="A675" t="s">
        <v>20</v>
      </c>
      <c r="B675" t="s">
        <v>81</v>
      </c>
      <c r="C675" t="s">
        <v>58</v>
      </c>
      <c r="D675">
        <v>2023</v>
      </c>
      <c r="E675" t="s">
        <v>63</v>
      </c>
      <c r="F675">
        <v>302</v>
      </c>
      <c r="G675" t="s">
        <v>143</v>
      </c>
    </row>
    <row r="676" spans="1:7" x14ac:dyDescent="0.35">
      <c r="A676" t="s">
        <v>20</v>
      </c>
      <c r="B676" t="s">
        <v>81</v>
      </c>
      <c r="C676" t="s">
        <v>58</v>
      </c>
      <c r="D676">
        <v>2023</v>
      </c>
      <c r="E676" t="s">
        <v>144</v>
      </c>
      <c r="F676">
        <v>335</v>
      </c>
      <c r="G676" t="s">
        <v>143</v>
      </c>
    </row>
    <row r="677" spans="1:7" x14ac:dyDescent="0.35">
      <c r="A677" t="s">
        <v>20</v>
      </c>
      <c r="B677" t="s">
        <v>81</v>
      </c>
      <c r="C677" t="s">
        <v>58</v>
      </c>
      <c r="D677">
        <v>2024</v>
      </c>
      <c r="E677" t="s">
        <v>60</v>
      </c>
      <c r="F677">
        <v>328</v>
      </c>
      <c r="G677" t="s">
        <v>143</v>
      </c>
    </row>
    <row r="678" spans="1:7" x14ac:dyDescent="0.35">
      <c r="A678" t="s">
        <v>20</v>
      </c>
      <c r="B678" t="s">
        <v>81</v>
      </c>
      <c r="C678" t="s">
        <v>58</v>
      </c>
      <c r="D678">
        <v>2024</v>
      </c>
      <c r="E678" t="s">
        <v>61</v>
      </c>
      <c r="F678">
        <v>-222</v>
      </c>
      <c r="G678" t="s">
        <v>143</v>
      </c>
    </row>
    <row r="679" spans="1:7" x14ac:dyDescent="0.35">
      <c r="A679" t="s">
        <v>20</v>
      </c>
      <c r="B679" t="s">
        <v>81</v>
      </c>
      <c r="C679" t="s">
        <v>58</v>
      </c>
      <c r="D679">
        <v>2024</v>
      </c>
      <c r="E679" t="s">
        <v>63</v>
      </c>
      <c r="F679">
        <v>284</v>
      </c>
      <c r="G679" t="s">
        <v>143</v>
      </c>
    </row>
    <row r="680" spans="1:7" x14ac:dyDescent="0.35">
      <c r="A680" t="s">
        <v>20</v>
      </c>
      <c r="B680" t="s">
        <v>81</v>
      </c>
      <c r="C680" t="s">
        <v>58</v>
      </c>
      <c r="D680">
        <v>2024</v>
      </c>
      <c r="E680" t="s">
        <v>144</v>
      </c>
      <c r="F680">
        <v>520</v>
      </c>
      <c r="G680" t="s">
        <v>143</v>
      </c>
    </row>
    <row r="681" spans="1:7" x14ac:dyDescent="0.35">
      <c r="A681" t="s">
        <v>20</v>
      </c>
      <c r="B681" t="s">
        <v>81</v>
      </c>
      <c r="C681" t="s">
        <v>58</v>
      </c>
      <c r="D681">
        <v>2025</v>
      </c>
      <c r="E681" t="s">
        <v>60</v>
      </c>
      <c r="F681">
        <v>331</v>
      </c>
      <c r="G681" t="s">
        <v>143</v>
      </c>
    </row>
    <row r="682" spans="1:7" x14ac:dyDescent="0.35">
      <c r="A682" t="s">
        <v>20</v>
      </c>
      <c r="B682" t="s">
        <v>81</v>
      </c>
      <c r="C682" t="s">
        <v>58</v>
      </c>
      <c r="D682">
        <v>2025</v>
      </c>
      <c r="E682" t="s">
        <v>61</v>
      </c>
      <c r="F682">
        <v>420</v>
      </c>
      <c r="G682" t="s">
        <v>143</v>
      </c>
    </row>
    <row r="683" spans="1:7" x14ac:dyDescent="0.35">
      <c r="A683" t="s">
        <v>20</v>
      </c>
      <c r="B683" t="s">
        <v>81</v>
      </c>
      <c r="C683" t="s">
        <v>58</v>
      </c>
      <c r="D683">
        <v>2025</v>
      </c>
      <c r="E683" t="s">
        <v>63</v>
      </c>
      <c r="F683">
        <v>453</v>
      </c>
      <c r="G683" t="s">
        <v>143</v>
      </c>
    </row>
    <row r="684" spans="1:7" x14ac:dyDescent="0.35">
      <c r="A684" t="s">
        <v>20</v>
      </c>
      <c r="B684" t="s">
        <v>81</v>
      </c>
      <c r="C684" t="s">
        <v>58</v>
      </c>
      <c r="D684">
        <v>2025</v>
      </c>
      <c r="E684" t="s">
        <v>144</v>
      </c>
      <c r="F684">
        <v>2</v>
      </c>
      <c r="G684" t="s">
        <v>143</v>
      </c>
    </row>
    <row r="685" spans="1:7" x14ac:dyDescent="0.35">
      <c r="A685" t="s">
        <v>20</v>
      </c>
      <c r="B685" t="s">
        <v>81</v>
      </c>
      <c r="C685" t="s">
        <v>58</v>
      </c>
      <c r="D685">
        <v>2026</v>
      </c>
      <c r="E685" t="s">
        <v>60</v>
      </c>
      <c r="F685">
        <v>71</v>
      </c>
      <c r="G685" t="s">
        <v>143</v>
      </c>
    </row>
    <row r="686" spans="1:7" x14ac:dyDescent="0.35">
      <c r="A686" t="s">
        <v>20</v>
      </c>
      <c r="B686" t="s">
        <v>81</v>
      </c>
      <c r="C686" t="s">
        <v>59</v>
      </c>
      <c r="D686">
        <v>2022</v>
      </c>
      <c r="E686" t="s">
        <v>60</v>
      </c>
      <c r="F686">
        <v>3082</v>
      </c>
      <c r="G686" t="s">
        <v>143</v>
      </c>
    </row>
    <row r="687" spans="1:7" x14ac:dyDescent="0.35">
      <c r="A687" t="s">
        <v>20</v>
      </c>
      <c r="B687" t="s">
        <v>81</v>
      </c>
      <c r="C687" t="s">
        <v>59</v>
      </c>
      <c r="D687">
        <v>2022</v>
      </c>
      <c r="E687" t="s">
        <v>61</v>
      </c>
      <c r="F687">
        <v>3131</v>
      </c>
      <c r="G687" t="s">
        <v>143</v>
      </c>
    </row>
    <row r="688" spans="1:7" x14ac:dyDescent="0.35">
      <c r="A688" t="s">
        <v>20</v>
      </c>
      <c r="B688" t="s">
        <v>81</v>
      </c>
      <c r="C688" t="s">
        <v>59</v>
      </c>
      <c r="D688">
        <v>2022</v>
      </c>
      <c r="E688" t="s">
        <v>63</v>
      </c>
      <c r="F688">
        <v>2923</v>
      </c>
      <c r="G688" t="s">
        <v>143</v>
      </c>
    </row>
    <row r="689" spans="1:7" x14ac:dyDescent="0.35">
      <c r="A689" t="s">
        <v>20</v>
      </c>
      <c r="B689" t="s">
        <v>81</v>
      </c>
      <c r="C689" t="s">
        <v>59</v>
      </c>
      <c r="D689">
        <v>2022</v>
      </c>
      <c r="E689" t="s">
        <v>144</v>
      </c>
      <c r="F689">
        <v>3176</v>
      </c>
      <c r="G689" t="s">
        <v>143</v>
      </c>
    </row>
    <row r="690" spans="1:7" x14ac:dyDescent="0.35">
      <c r="A690" t="s">
        <v>20</v>
      </c>
      <c r="B690" t="s">
        <v>81</v>
      </c>
      <c r="C690" t="s">
        <v>59</v>
      </c>
      <c r="D690">
        <v>2023</v>
      </c>
      <c r="E690" t="s">
        <v>60</v>
      </c>
      <c r="F690">
        <v>3453</v>
      </c>
      <c r="G690" t="s">
        <v>143</v>
      </c>
    </row>
    <row r="691" spans="1:7" x14ac:dyDescent="0.35">
      <c r="A691" t="s">
        <v>20</v>
      </c>
      <c r="B691" t="s">
        <v>81</v>
      </c>
      <c r="C691" t="s">
        <v>59</v>
      </c>
      <c r="D691">
        <v>2023</v>
      </c>
      <c r="E691" t="s">
        <v>61</v>
      </c>
      <c r="F691">
        <v>3455</v>
      </c>
      <c r="G691" t="s">
        <v>143</v>
      </c>
    </row>
    <row r="692" spans="1:7" x14ac:dyDescent="0.35">
      <c r="A692" t="s">
        <v>20</v>
      </c>
      <c r="B692" t="s">
        <v>81</v>
      </c>
      <c r="C692" t="s">
        <v>59</v>
      </c>
      <c r="D692">
        <v>2023</v>
      </c>
      <c r="E692" t="s">
        <v>63</v>
      </c>
      <c r="F692">
        <v>3404</v>
      </c>
      <c r="G692" t="s">
        <v>143</v>
      </c>
    </row>
    <row r="693" spans="1:7" x14ac:dyDescent="0.35">
      <c r="A693" t="s">
        <v>20</v>
      </c>
      <c r="B693" t="s">
        <v>81</v>
      </c>
      <c r="C693" t="s">
        <v>59</v>
      </c>
      <c r="D693">
        <v>2023</v>
      </c>
      <c r="E693" t="s">
        <v>144</v>
      </c>
      <c r="F693">
        <v>3789</v>
      </c>
      <c r="G693" t="s">
        <v>143</v>
      </c>
    </row>
    <row r="694" spans="1:7" x14ac:dyDescent="0.35">
      <c r="A694" t="s">
        <v>20</v>
      </c>
      <c r="B694" t="s">
        <v>81</v>
      </c>
      <c r="C694" t="s">
        <v>59</v>
      </c>
      <c r="D694">
        <v>2024</v>
      </c>
      <c r="E694" t="s">
        <v>60</v>
      </c>
      <c r="F694">
        <v>4428</v>
      </c>
      <c r="G694" t="s">
        <v>143</v>
      </c>
    </row>
    <row r="695" spans="1:7" x14ac:dyDescent="0.35">
      <c r="A695" t="s">
        <v>20</v>
      </c>
      <c r="B695" t="s">
        <v>81</v>
      </c>
      <c r="C695" t="s">
        <v>59</v>
      </c>
      <c r="D695">
        <v>2024</v>
      </c>
      <c r="E695" t="s">
        <v>61</v>
      </c>
      <c r="F695">
        <v>3869</v>
      </c>
      <c r="G695" t="s">
        <v>143</v>
      </c>
    </row>
    <row r="696" spans="1:7" x14ac:dyDescent="0.35">
      <c r="A696" t="s">
        <v>20</v>
      </c>
      <c r="B696" t="s">
        <v>81</v>
      </c>
      <c r="C696" t="s">
        <v>59</v>
      </c>
      <c r="D696">
        <v>2024</v>
      </c>
      <c r="E696" t="s">
        <v>63</v>
      </c>
      <c r="F696">
        <v>3853</v>
      </c>
      <c r="G696" t="s">
        <v>143</v>
      </c>
    </row>
    <row r="697" spans="1:7" x14ac:dyDescent="0.35">
      <c r="A697" t="s">
        <v>20</v>
      </c>
      <c r="B697" t="s">
        <v>81</v>
      </c>
      <c r="C697" t="s">
        <v>59</v>
      </c>
      <c r="D697">
        <v>2024</v>
      </c>
      <c r="E697" t="s">
        <v>144</v>
      </c>
      <c r="F697">
        <v>3973</v>
      </c>
      <c r="G697" t="s">
        <v>143</v>
      </c>
    </row>
    <row r="698" spans="1:7" x14ac:dyDescent="0.35">
      <c r="A698" t="s">
        <v>20</v>
      </c>
      <c r="B698" t="s">
        <v>81</v>
      </c>
      <c r="C698" t="s">
        <v>59</v>
      </c>
      <c r="D698">
        <v>2025</v>
      </c>
      <c r="E698" t="s">
        <v>60</v>
      </c>
      <c r="F698">
        <v>4307</v>
      </c>
      <c r="G698" t="s">
        <v>143</v>
      </c>
    </row>
    <row r="699" spans="1:7" x14ac:dyDescent="0.35">
      <c r="A699" t="s">
        <v>20</v>
      </c>
      <c r="B699" t="s">
        <v>81</v>
      </c>
      <c r="C699" t="s">
        <v>59</v>
      </c>
      <c r="D699">
        <v>2025</v>
      </c>
      <c r="E699" t="s">
        <v>61</v>
      </c>
      <c r="F699">
        <v>4114</v>
      </c>
      <c r="G699" t="s">
        <v>143</v>
      </c>
    </row>
    <row r="700" spans="1:7" x14ac:dyDescent="0.35">
      <c r="A700" t="s">
        <v>20</v>
      </c>
      <c r="B700" t="s">
        <v>81</v>
      </c>
      <c r="C700" t="s">
        <v>59</v>
      </c>
      <c r="D700">
        <v>2025</v>
      </c>
      <c r="E700" t="s">
        <v>63</v>
      </c>
      <c r="F700">
        <v>4317</v>
      </c>
      <c r="G700" t="s">
        <v>143</v>
      </c>
    </row>
    <row r="701" spans="1:7" x14ac:dyDescent="0.35">
      <c r="A701" t="s">
        <v>20</v>
      </c>
      <c r="B701" t="s">
        <v>81</v>
      </c>
      <c r="C701" t="s">
        <v>59</v>
      </c>
      <c r="D701">
        <v>2025</v>
      </c>
      <c r="E701" t="s">
        <v>144</v>
      </c>
      <c r="F701">
        <v>4606</v>
      </c>
      <c r="G701" t="s">
        <v>143</v>
      </c>
    </row>
    <row r="702" spans="1:7" x14ac:dyDescent="0.35">
      <c r="A702" t="s">
        <v>20</v>
      </c>
      <c r="B702" t="s">
        <v>81</v>
      </c>
      <c r="C702" t="s">
        <v>59</v>
      </c>
      <c r="D702">
        <v>2026</v>
      </c>
      <c r="E702" t="s">
        <v>60</v>
      </c>
      <c r="F702">
        <v>4748</v>
      </c>
      <c r="G702" t="s">
        <v>143</v>
      </c>
    </row>
    <row r="703" spans="1:7" x14ac:dyDescent="0.35">
      <c r="A703" t="s">
        <v>155</v>
      </c>
      <c r="B703" t="s">
        <v>157</v>
      </c>
      <c r="C703" t="s">
        <v>57</v>
      </c>
      <c r="D703">
        <v>2022</v>
      </c>
      <c r="E703" t="s">
        <v>60</v>
      </c>
      <c r="F703">
        <v>1156</v>
      </c>
      <c r="G703" t="s">
        <v>143</v>
      </c>
    </row>
    <row r="704" spans="1:7" x14ac:dyDescent="0.35">
      <c r="A704" t="s">
        <v>155</v>
      </c>
      <c r="B704" t="s">
        <v>157</v>
      </c>
      <c r="C704" t="s">
        <v>57</v>
      </c>
      <c r="D704">
        <v>2022</v>
      </c>
      <c r="E704" t="s">
        <v>61</v>
      </c>
      <c r="F704">
        <v>1306</v>
      </c>
      <c r="G704" t="s">
        <v>143</v>
      </c>
    </row>
    <row r="705" spans="1:7" x14ac:dyDescent="0.35">
      <c r="A705" t="s">
        <v>155</v>
      </c>
      <c r="B705" t="s">
        <v>157</v>
      </c>
      <c r="C705" t="s">
        <v>57</v>
      </c>
      <c r="D705">
        <v>2022</v>
      </c>
      <c r="E705" t="s">
        <v>63</v>
      </c>
      <c r="F705">
        <v>1203</v>
      </c>
      <c r="G705" t="s">
        <v>143</v>
      </c>
    </row>
    <row r="706" spans="1:7" x14ac:dyDescent="0.35">
      <c r="A706" t="s">
        <v>155</v>
      </c>
      <c r="B706" t="s">
        <v>157</v>
      </c>
      <c r="C706" t="s">
        <v>57</v>
      </c>
      <c r="D706">
        <v>2022</v>
      </c>
      <c r="E706" t="s">
        <v>144</v>
      </c>
      <c r="F706">
        <v>1180</v>
      </c>
      <c r="G706" t="s">
        <v>143</v>
      </c>
    </row>
    <row r="707" spans="1:7" x14ac:dyDescent="0.35">
      <c r="A707" t="s">
        <v>155</v>
      </c>
      <c r="B707" t="s">
        <v>157</v>
      </c>
      <c r="C707" t="s">
        <v>57</v>
      </c>
      <c r="D707">
        <v>2023</v>
      </c>
      <c r="E707" t="s">
        <v>60</v>
      </c>
      <c r="F707">
        <v>1069</v>
      </c>
      <c r="G707" t="s">
        <v>143</v>
      </c>
    </row>
    <row r="708" spans="1:7" x14ac:dyDescent="0.35">
      <c r="A708" t="s">
        <v>155</v>
      </c>
      <c r="B708" t="s">
        <v>157</v>
      </c>
      <c r="C708" t="s">
        <v>57</v>
      </c>
      <c r="D708">
        <v>2023</v>
      </c>
      <c r="E708" t="s">
        <v>61</v>
      </c>
      <c r="F708">
        <v>1131</v>
      </c>
      <c r="G708" t="s">
        <v>143</v>
      </c>
    </row>
    <row r="709" spans="1:7" x14ac:dyDescent="0.35">
      <c r="A709" t="s">
        <v>155</v>
      </c>
      <c r="B709" t="s">
        <v>157</v>
      </c>
      <c r="C709" t="s">
        <v>57</v>
      </c>
      <c r="D709">
        <v>2023</v>
      </c>
      <c r="E709" t="s">
        <v>63</v>
      </c>
      <c r="F709">
        <v>1356</v>
      </c>
      <c r="G709" t="s">
        <v>143</v>
      </c>
    </row>
    <row r="710" spans="1:7" x14ac:dyDescent="0.35">
      <c r="A710" t="s">
        <v>155</v>
      </c>
      <c r="B710" t="s">
        <v>157</v>
      </c>
      <c r="C710" t="s">
        <v>57</v>
      </c>
      <c r="D710">
        <v>2023</v>
      </c>
      <c r="E710" t="s">
        <v>144</v>
      </c>
      <c r="F710">
        <v>1361</v>
      </c>
      <c r="G710" t="s">
        <v>143</v>
      </c>
    </row>
    <row r="711" spans="1:7" x14ac:dyDescent="0.35">
      <c r="A711" t="s">
        <v>155</v>
      </c>
      <c r="B711" t="s">
        <v>157</v>
      </c>
      <c r="C711" t="s">
        <v>57</v>
      </c>
      <c r="D711">
        <v>2024</v>
      </c>
      <c r="E711" t="s">
        <v>60</v>
      </c>
      <c r="F711">
        <v>1169</v>
      </c>
      <c r="G711" t="s">
        <v>143</v>
      </c>
    </row>
    <row r="712" spans="1:7" x14ac:dyDescent="0.35">
      <c r="A712" t="s">
        <v>155</v>
      </c>
      <c r="B712" t="s">
        <v>157</v>
      </c>
      <c r="C712" t="s">
        <v>57</v>
      </c>
      <c r="D712">
        <v>2024</v>
      </c>
      <c r="E712" t="s">
        <v>61</v>
      </c>
      <c r="F712">
        <v>1258</v>
      </c>
      <c r="G712" t="s">
        <v>143</v>
      </c>
    </row>
    <row r="713" spans="1:7" x14ac:dyDescent="0.35">
      <c r="A713" t="s">
        <v>155</v>
      </c>
      <c r="B713" t="s">
        <v>157</v>
      </c>
      <c r="C713" t="s">
        <v>57</v>
      </c>
      <c r="D713">
        <v>2024</v>
      </c>
      <c r="E713" t="s">
        <v>63</v>
      </c>
      <c r="F713">
        <v>1141</v>
      </c>
      <c r="G713" t="s">
        <v>143</v>
      </c>
    </row>
    <row r="714" spans="1:7" x14ac:dyDescent="0.35">
      <c r="A714" t="s">
        <v>155</v>
      </c>
      <c r="B714" t="s">
        <v>157</v>
      </c>
      <c r="C714" t="s">
        <v>57</v>
      </c>
      <c r="D714">
        <v>2024</v>
      </c>
      <c r="E714" t="s">
        <v>144</v>
      </c>
      <c r="F714">
        <v>1450</v>
      </c>
      <c r="G714" t="s">
        <v>143</v>
      </c>
    </row>
    <row r="715" spans="1:7" x14ac:dyDescent="0.35">
      <c r="A715" t="s">
        <v>155</v>
      </c>
      <c r="B715" t="s">
        <v>157</v>
      </c>
      <c r="C715" t="s">
        <v>57</v>
      </c>
      <c r="D715">
        <v>2025</v>
      </c>
      <c r="E715" t="s">
        <v>60</v>
      </c>
      <c r="F715">
        <v>1224</v>
      </c>
      <c r="G715" t="s">
        <v>143</v>
      </c>
    </row>
    <row r="716" spans="1:7" x14ac:dyDescent="0.35">
      <c r="A716" t="s">
        <v>155</v>
      </c>
      <c r="B716" t="s">
        <v>157</v>
      </c>
      <c r="C716" t="s">
        <v>57</v>
      </c>
      <c r="D716">
        <v>2025</v>
      </c>
      <c r="E716" t="s">
        <v>61</v>
      </c>
      <c r="F716">
        <v>1470</v>
      </c>
      <c r="G716" t="s">
        <v>143</v>
      </c>
    </row>
    <row r="717" spans="1:7" x14ac:dyDescent="0.35">
      <c r="A717" t="s">
        <v>155</v>
      </c>
      <c r="B717" t="s">
        <v>157</v>
      </c>
      <c r="C717" t="s">
        <v>57</v>
      </c>
      <c r="D717">
        <v>2025</v>
      </c>
      <c r="E717" t="s">
        <v>63</v>
      </c>
      <c r="F717">
        <v>1477</v>
      </c>
      <c r="G717" t="s">
        <v>143</v>
      </c>
    </row>
    <row r="718" spans="1:7" x14ac:dyDescent="0.35">
      <c r="A718" t="s">
        <v>155</v>
      </c>
      <c r="B718" t="s">
        <v>157</v>
      </c>
      <c r="C718" t="s">
        <v>57</v>
      </c>
      <c r="D718">
        <v>2025</v>
      </c>
      <c r="E718" t="s">
        <v>144</v>
      </c>
      <c r="F718">
        <v>1739</v>
      </c>
      <c r="G718" t="s">
        <v>143</v>
      </c>
    </row>
    <row r="719" spans="1:7" x14ac:dyDescent="0.35">
      <c r="A719" t="s">
        <v>155</v>
      </c>
      <c r="B719" t="s">
        <v>157</v>
      </c>
      <c r="C719" t="s">
        <v>57</v>
      </c>
      <c r="D719">
        <v>2026</v>
      </c>
      <c r="E719" t="s">
        <v>60</v>
      </c>
      <c r="F719">
        <v>1621</v>
      </c>
      <c r="G719" t="s">
        <v>143</v>
      </c>
    </row>
    <row r="720" spans="1:7" x14ac:dyDescent="0.35">
      <c r="A720" t="s">
        <v>156</v>
      </c>
      <c r="B720" t="s">
        <v>158</v>
      </c>
      <c r="C720" t="s">
        <v>57</v>
      </c>
      <c r="D720">
        <v>2022</v>
      </c>
      <c r="E720" t="s">
        <v>60</v>
      </c>
      <c r="F720">
        <v>494</v>
      </c>
      <c r="G720" t="s">
        <v>143</v>
      </c>
    </row>
    <row r="721" spans="1:7" x14ac:dyDescent="0.35">
      <c r="A721" t="s">
        <v>156</v>
      </c>
      <c r="B721" t="s">
        <v>158</v>
      </c>
      <c r="C721" t="s">
        <v>57</v>
      </c>
      <c r="D721">
        <v>2022</v>
      </c>
      <c r="E721" t="s">
        <v>61</v>
      </c>
      <c r="F721">
        <v>471</v>
      </c>
      <c r="G721" t="s">
        <v>143</v>
      </c>
    </row>
    <row r="722" spans="1:7" x14ac:dyDescent="0.35">
      <c r="A722" t="s">
        <v>156</v>
      </c>
      <c r="B722" t="s">
        <v>158</v>
      </c>
      <c r="C722" t="s">
        <v>57</v>
      </c>
      <c r="D722">
        <v>2022</v>
      </c>
      <c r="E722" t="s">
        <v>63</v>
      </c>
      <c r="F722">
        <v>671</v>
      </c>
      <c r="G722" t="s">
        <v>143</v>
      </c>
    </row>
    <row r="723" spans="1:7" x14ac:dyDescent="0.35">
      <c r="A723" t="s">
        <v>156</v>
      </c>
      <c r="B723" t="s">
        <v>158</v>
      </c>
      <c r="C723" t="s">
        <v>57</v>
      </c>
      <c r="D723">
        <v>2022</v>
      </c>
      <c r="E723" t="s">
        <v>144</v>
      </c>
      <c r="F723">
        <v>465</v>
      </c>
      <c r="G723" t="s">
        <v>143</v>
      </c>
    </row>
    <row r="724" spans="1:7" x14ac:dyDescent="0.35">
      <c r="A724" t="s">
        <v>156</v>
      </c>
      <c r="B724" t="s">
        <v>158</v>
      </c>
      <c r="C724" t="s">
        <v>57</v>
      </c>
      <c r="D724">
        <v>2023</v>
      </c>
      <c r="E724" t="s">
        <v>60</v>
      </c>
      <c r="F724">
        <v>622</v>
      </c>
      <c r="G724" t="s">
        <v>143</v>
      </c>
    </row>
    <row r="725" spans="1:7" x14ac:dyDescent="0.35">
      <c r="A725" t="s">
        <v>156</v>
      </c>
      <c r="B725" t="s">
        <v>158</v>
      </c>
      <c r="C725" t="s">
        <v>57</v>
      </c>
      <c r="D725">
        <v>2023</v>
      </c>
      <c r="E725" t="s">
        <v>61</v>
      </c>
      <c r="F725">
        <v>466</v>
      </c>
      <c r="G725" t="s">
        <v>143</v>
      </c>
    </row>
    <row r="726" spans="1:7" x14ac:dyDescent="0.35">
      <c r="A726" t="s">
        <v>156</v>
      </c>
      <c r="B726" t="s">
        <v>158</v>
      </c>
      <c r="C726" t="s">
        <v>57</v>
      </c>
      <c r="D726">
        <v>2023</v>
      </c>
      <c r="E726" t="s">
        <v>63</v>
      </c>
      <c r="F726">
        <v>505</v>
      </c>
      <c r="G726" t="s">
        <v>143</v>
      </c>
    </row>
    <row r="727" spans="1:7" x14ac:dyDescent="0.35">
      <c r="A727" t="s">
        <v>156</v>
      </c>
      <c r="B727" t="s">
        <v>158</v>
      </c>
      <c r="C727" t="s">
        <v>57</v>
      </c>
      <c r="D727">
        <v>2023</v>
      </c>
      <c r="E727" t="s">
        <v>144</v>
      </c>
      <c r="F727">
        <v>633</v>
      </c>
      <c r="G727" t="s">
        <v>143</v>
      </c>
    </row>
    <row r="728" spans="1:7" x14ac:dyDescent="0.35">
      <c r="A728" t="s">
        <v>156</v>
      </c>
      <c r="B728" t="s">
        <v>158</v>
      </c>
      <c r="C728" t="s">
        <v>57</v>
      </c>
      <c r="D728">
        <v>2024</v>
      </c>
      <c r="E728" t="s">
        <v>60</v>
      </c>
      <c r="F728">
        <v>647</v>
      </c>
      <c r="G728" t="s">
        <v>143</v>
      </c>
    </row>
    <row r="729" spans="1:7" x14ac:dyDescent="0.35">
      <c r="A729" t="s">
        <v>156</v>
      </c>
      <c r="B729" t="s">
        <v>158</v>
      </c>
      <c r="C729" t="s">
        <v>57</v>
      </c>
      <c r="D729">
        <v>2024</v>
      </c>
      <c r="E729" t="s">
        <v>61</v>
      </c>
      <c r="F729">
        <v>643</v>
      </c>
      <c r="G729" t="s">
        <v>143</v>
      </c>
    </row>
    <row r="730" spans="1:7" x14ac:dyDescent="0.35">
      <c r="A730" t="s">
        <v>156</v>
      </c>
      <c r="B730" t="s">
        <v>158</v>
      </c>
      <c r="C730" t="s">
        <v>57</v>
      </c>
      <c r="D730">
        <v>2024</v>
      </c>
      <c r="E730" t="s">
        <v>63</v>
      </c>
      <c r="F730">
        <v>649</v>
      </c>
      <c r="G730" t="s">
        <v>143</v>
      </c>
    </row>
    <row r="731" spans="1:7" x14ac:dyDescent="0.35">
      <c r="A731" t="s">
        <v>156</v>
      </c>
      <c r="B731" t="s">
        <v>158</v>
      </c>
      <c r="C731" t="s">
        <v>57</v>
      </c>
      <c r="D731">
        <v>2024</v>
      </c>
      <c r="E731" t="s">
        <v>144</v>
      </c>
      <c r="F731">
        <v>891</v>
      </c>
      <c r="G731" t="s">
        <v>143</v>
      </c>
    </row>
    <row r="732" spans="1:7" x14ac:dyDescent="0.35">
      <c r="A732" t="s">
        <v>156</v>
      </c>
      <c r="B732" t="s">
        <v>158</v>
      </c>
      <c r="C732" t="s">
        <v>57</v>
      </c>
      <c r="D732">
        <v>2025</v>
      </c>
      <c r="E732" t="s">
        <v>60</v>
      </c>
      <c r="F732">
        <v>792</v>
      </c>
      <c r="G732" t="s">
        <v>143</v>
      </c>
    </row>
    <row r="733" spans="1:7" x14ac:dyDescent="0.35">
      <c r="A733" t="s">
        <v>156</v>
      </c>
      <c r="B733" t="s">
        <v>158</v>
      </c>
      <c r="C733" t="s">
        <v>57</v>
      </c>
      <c r="D733">
        <v>2025</v>
      </c>
      <c r="E733" t="s">
        <v>61</v>
      </c>
      <c r="F733">
        <v>1002</v>
      </c>
      <c r="G733" t="s">
        <v>143</v>
      </c>
    </row>
    <row r="734" spans="1:7" x14ac:dyDescent="0.35">
      <c r="A734" t="s">
        <v>156</v>
      </c>
      <c r="B734" t="s">
        <v>158</v>
      </c>
      <c r="C734" t="s">
        <v>57</v>
      </c>
      <c r="D734">
        <v>2025</v>
      </c>
      <c r="E734" t="s">
        <v>63</v>
      </c>
      <c r="F734">
        <v>1060</v>
      </c>
      <c r="G734" t="s">
        <v>143</v>
      </c>
    </row>
    <row r="735" spans="1:7" x14ac:dyDescent="0.35">
      <c r="A735" t="s">
        <v>156</v>
      </c>
      <c r="B735" t="s">
        <v>158</v>
      </c>
      <c r="C735" t="s">
        <v>57</v>
      </c>
      <c r="D735">
        <v>2025</v>
      </c>
      <c r="E735" t="s">
        <v>144</v>
      </c>
      <c r="F735">
        <v>1281</v>
      </c>
      <c r="G735" t="s">
        <v>143</v>
      </c>
    </row>
    <row r="736" spans="1:7" x14ac:dyDescent="0.35">
      <c r="A736" t="s">
        <v>156</v>
      </c>
      <c r="B736" t="s">
        <v>158</v>
      </c>
      <c r="C736" t="s">
        <v>57</v>
      </c>
      <c r="D736">
        <v>2026</v>
      </c>
      <c r="E736" t="s">
        <v>60</v>
      </c>
      <c r="F736">
        <v>815</v>
      </c>
      <c r="G736" t="s">
        <v>143</v>
      </c>
    </row>
    <row r="737" spans="1:7" x14ac:dyDescent="0.35">
      <c r="A737" t="s">
        <v>21</v>
      </c>
      <c r="B737" t="s">
        <v>82</v>
      </c>
      <c r="C737" t="s">
        <v>57</v>
      </c>
      <c r="D737">
        <v>2022</v>
      </c>
      <c r="E737" t="s">
        <v>60</v>
      </c>
      <c r="F737">
        <v>2658</v>
      </c>
      <c r="G737" t="s">
        <v>143</v>
      </c>
    </row>
    <row r="738" spans="1:7" x14ac:dyDescent="0.35">
      <c r="A738" t="s">
        <v>21</v>
      </c>
      <c r="B738" t="s">
        <v>82</v>
      </c>
      <c r="C738" t="s">
        <v>57</v>
      </c>
      <c r="D738">
        <v>2022</v>
      </c>
      <c r="E738" t="s">
        <v>61</v>
      </c>
      <c r="F738">
        <v>3249</v>
      </c>
      <c r="G738" t="s">
        <v>143</v>
      </c>
    </row>
    <row r="739" spans="1:7" x14ac:dyDescent="0.35">
      <c r="A739" t="s">
        <v>21</v>
      </c>
      <c r="B739" t="s">
        <v>82</v>
      </c>
      <c r="C739" t="s">
        <v>57</v>
      </c>
      <c r="D739">
        <v>2022</v>
      </c>
      <c r="E739" t="s">
        <v>63</v>
      </c>
      <c r="F739">
        <v>3839</v>
      </c>
      <c r="G739" t="s">
        <v>143</v>
      </c>
    </row>
    <row r="740" spans="1:7" x14ac:dyDescent="0.35">
      <c r="A740" t="s">
        <v>21</v>
      </c>
      <c r="B740" t="s">
        <v>82</v>
      </c>
      <c r="C740" t="s">
        <v>57</v>
      </c>
      <c r="D740">
        <v>2022</v>
      </c>
      <c r="E740" t="s">
        <v>144</v>
      </c>
      <c r="F740">
        <v>3859</v>
      </c>
      <c r="G740" t="s">
        <v>143</v>
      </c>
    </row>
    <row r="741" spans="1:7" x14ac:dyDescent="0.35">
      <c r="A741" t="s">
        <v>21</v>
      </c>
      <c r="B741" t="s">
        <v>82</v>
      </c>
      <c r="C741" t="s">
        <v>57</v>
      </c>
      <c r="D741">
        <v>2023</v>
      </c>
      <c r="E741" t="s">
        <v>60</v>
      </c>
      <c r="F741">
        <v>4090</v>
      </c>
      <c r="G741" t="s">
        <v>143</v>
      </c>
    </row>
    <row r="742" spans="1:7" x14ac:dyDescent="0.35">
      <c r="A742" t="s">
        <v>21</v>
      </c>
      <c r="B742" t="s">
        <v>82</v>
      </c>
      <c r="C742" t="s">
        <v>57</v>
      </c>
      <c r="D742">
        <v>2023</v>
      </c>
      <c r="E742" t="s">
        <v>61</v>
      </c>
      <c r="F742">
        <v>3359</v>
      </c>
      <c r="G742" t="s">
        <v>143</v>
      </c>
    </row>
    <row r="743" spans="1:7" x14ac:dyDescent="0.35">
      <c r="A743" t="s">
        <v>21</v>
      </c>
      <c r="B743" t="s">
        <v>82</v>
      </c>
      <c r="C743" t="s">
        <v>57</v>
      </c>
      <c r="D743">
        <v>2023</v>
      </c>
      <c r="E743" t="s">
        <v>63</v>
      </c>
      <c r="F743">
        <v>2983</v>
      </c>
      <c r="G743" t="s">
        <v>143</v>
      </c>
    </row>
    <row r="744" spans="1:7" x14ac:dyDescent="0.35">
      <c r="A744" t="s">
        <v>21</v>
      </c>
      <c r="B744" t="s">
        <v>82</v>
      </c>
      <c r="C744" t="s">
        <v>57</v>
      </c>
      <c r="D744">
        <v>2023</v>
      </c>
      <c r="E744" t="s">
        <v>144</v>
      </c>
      <c r="F744">
        <v>2760</v>
      </c>
      <c r="G744" t="s">
        <v>143</v>
      </c>
    </row>
    <row r="745" spans="1:7" x14ac:dyDescent="0.35">
      <c r="A745" t="s">
        <v>21</v>
      </c>
      <c r="B745" t="s">
        <v>82</v>
      </c>
      <c r="C745" t="s">
        <v>57</v>
      </c>
      <c r="D745">
        <v>2024</v>
      </c>
      <c r="E745" t="s">
        <v>60</v>
      </c>
      <c r="F745">
        <v>2959</v>
      </c>
      <c r="G745" t="s">
        <v>143</v>
      </c>
    </row>
    <row r="746" spans="1:7" x14ac:dyDescent="0.35">
      <c r="A746" t="s">
        <v>21</v>
      </c>
      <c r="B746" t="s">
        <v>82</v>
      </c>
      <c r="C746" t="s">
        <v>57</v>
      </c>
      <c r="D746">
        <v>2024</v>
      </c>
      <c r="E746" t="s">
        <v>61</v>
      </c>
      <c r="F746">
        <v>2692</v>
      </c>
      <c r="G746" t="s">
        <v>143</v>
      </c>
    </row>
    <row r="747" spans="1:7" x14ac:dyDescent="0.35">
      <c r="A747" t="s">
        <v>21</v>
      </c>
      <c r="B747" t="s">
        <v>82</v>
      </c>
      <c r="C747" t="s">
        <v>57</v>
      </c>
      <c r="D747">
        <v>2024</v>
      </c>
      <c r="E747" t="s">
        <v>63</v>
      </c>
      <c r="F747">
        <v>2483</v>
      </c>
      <c r="G747" t="s">
        <v>143</v>
      </c>
    </row>
    <row r="748" spans="1:7" x14ac:dyDescent="0.35">
      <c r="A748" t="s">
        <v>21</v>
      </c>
      <c r="B748" t="s">
        <v>82</v>
      </c>
      <c r="C748" t="s">
        <v>57</v>
      </c>
      <c r="D748">
        <v>2024</v>
      </c>
      <c r="E748" t="s">
        <v>144</v>
      </c>
      <c r="F748">
        <v>2744</v>
      </c>
      <c r="G748" t="s">
        <v>143</v>
      </c>
    </row>
    <row r="749" spans="1:7" x14ac:dyDescent="0.35">
      <c r="A749" t="s">
        <v>21</v>
      </c>
      <c r="B749" t="s">
        <v>82</v>
      </c>
      <c r="C749" t="s">
        <v>57</v>
      </c>
      <c r="D749">
        <v>2025</v>
      </c>
      <c r="E749" t="s">
        <v>60</v>
      </c>
      <c r="F749">
        <v>2943</v>
      </c>
      <c r="G749" t="s">
        <v>143</v>
      </c>
    </row>
    <row r="750" spans="1:7" x14ac:dyDescent="0.35">
      <c r="A750" t="s">
        <v>21</v>
      </c>
      <c r="B750" t="s">
        <v>82</v>
      </c>
      <c r="C750" t="s">
        <v>57</v>
      </c>
      <c r="D750">
        <v>2025</v>
      </c>
      <c r="E750" t="s">
        <v>61</v>
      </c>
      <c r="F750">
        <v>2437</v>
      </c>
      <c r="G750" t="s">
        <v>143</v>
      </c>
    </row>
    <row r="751" spans="1:7" x14ac:dyDescent="0.35">
      <c r="A751" t="s">
        <v>21</v>
      </c>
      <c r="B751" t="s">
        <v>82</v>
      </c>
      <c r="C751" t="s">
        <v>57</v>
      </c>
      <c r="D751">
        <v>2025</v>
      </c>
      <c r="E751" t="s">
        <v>63</v>
      </c>
      <c r="F751">
        <v>2578</v>
      </c>
      <c r="G751" t="s">
        <v>143</v>
      </c>
    </row>
    <row r="752" spans="1:7" x14ac:dyDescent="0.35">
      <c r="A752" t="s">
        <v>21</v>
      </c>
      <c r="B752" t="s">
        <v>82</v>
      </c>
      <c r="C752" t="s">
        <v>57</v>
      </c>
      <c r="D752">
        <v>2025</v>
      </c>
      <c r="E752" t="s">
        <v>144</v>
      </c>
      <c r="F752">
        <v>2680</v>
      </c>
      <c r="G752" t="s">
        <v>143</v>
      </c>
    </row>
    <row r="753" spans="1:7" x14ac:dyDescent="0.35">
      <c r="A753" t="s">
        <v>21</v>
      </c>
      <c r="B753" t="s">
        <v>82</v>
      </c>
      <c r="C753" t="s">
        <v>57</v>
      </c>
      <c r="D753">
        <v>2026</v>
      </c>
      <c r="E753" t="s">
        <v>60</v>
      </c>
      <c r="F753">
        <v>2963</v>
      </c>
      <c r="G753" t="s">
        <v>143</v>
      </c>
    </row>
    <row r="754" spans="1:7" x14ac:dyDescent="0.35">
      <c r="A754" t="s">
        <v>21</v>
      </c>
      <c r="B754" t="s">
        <v>82</v>
      </c>
      <c r="C754" t="s">
        <v>58</v>
      </c>
      <c r="D754">
        <v>2022</v>
      </c>
      <c r="E754" t="s">
        <v>60</v>
      </c>
      <c r="F754">
        <v>92</v>
      </c>
      <c r="G754" t="s">
        <v>143</v>
      </c>
    </row>
    <row r="755" spans="1:7" x14ac:dyDescent="0.35">
      <c r="A755" t="s">
        <v>21</v>
      </c>
      <c r="B755" t="s">
        <v>82</v>
      </c>
      <c r="C755" t="s">
        <v>58</v>
      </c>
      <c r="D755">
        <v>2022</v>
      </c>
      <c r="E755" t="s">
        <v>61</v>
      </c>
      <c r="F755">
        <v>6</v>
      </c>
      <c r="G755" t="s">
        <v>143</v>
      </c>
    </row>
    <row r="756" spans="1:7" x14ac:dyDescent="0.35">
      <c r="A756" t="s">
        <v>21</v>
      </c>
      <c r="B756" t="s">
        <v>82</v>
      </c>
      <c r="C756" t="s">
        <v>58</v>
      </c>
      <c r="D756">
        <v>2022</v>
      </c>
      <c r="E756" t="s">
        <v>63</v>
      </c>
      <c r="F756">
        <v>21</v>
      </c>
      <c r="G756" t="s">
        <v>143</v>
      </c>
    </row>
    <row r="757" spans="1:7" x14ac:dyDescent="0.35">
      <c r="A757" t="s">
        <v>21</v>
      </c>
      <c r="B757" t="s">
        <v>82</v>
      </c>
      <c r="C757" t="s">
        <v>58</v>
      </c>
      <c r="D757">
        <v>2022</v>
      </c>
      <c r="E757" t="s">
        <v>144</v>
      </c>
      <c r="F757">
        <v>123</v>
      </c>
      <c r="G757" t="s">
        <v>143</v>
      </c>
    </row>
    <row r="758" spans="1:7" x14ac:dyDescent="0.35">
      <c r="A758" t="s">
        <v>21</v>
      </c>
      <c r="B758" t="s">
        <v>82</v>
      </c>
      <c r="C758" t="s">
        <v>58</v>
      </c>
      <c r="D758">
        <v>2023</v>
      </c>
      <c r="E758" t="s">
        <v>60</v>
      </c>
      <c r="F758">
        <v>15</v>
      </c>
      <c r="G758" t="s">
        <v>143</v>
      </c>
    </row>
    <row r="759" spans="1:7" x14ac:dyDescent="0.35">
      <c r="A759" t="s">
        <v>21</v>
      </c>
      <c r="B759" t="s">
        <v>82</v>
      </c>
      <c r="C759" t="s">
        <v>58</v>
      </c>
      <c r="D759">
        <v>2023</v>
      </c>
      <c r="E759" t="s">
        <v>61</v>
      </c>
      <c r="F759">
        <v>6</v>
      </c>
      <c r="G759" t="s">
        <v>143</v>
      </c>
    </row>
    <row r="760" spans="1:7" x14ac:dyDescent="0.35">
      <c r="A760" t="s">
        <v>21</v>
      </c>
      <c r="B760" t="s">
        <v>82</v>
      </c>
      <c r="C760" t="s">
        <v>58</v>
      </c>
      <c r="D760">
        <v>2023</v>
      </c>
      <c r="E760" t="s">
        <v>63</v>
      </c>
      <c r="F760">
        <v>108</v>
      </c>
      <c r="G760" t="s">
        <v>143</v>
      </c>
    </row>
    <row r="761" spans="1:7" x14ac:dyDescent="0.35">
      <c r="A761" t="s">
        <v>21</v>
      </c>
      <c r="B761" t="s">
        <v>82</v>
      </c>
      <c r="C761" t="s">
        <v>58</v>
      </c>
      <c r="D761">
        <v>2023</v>
      </c>
      <c r="E761" t="s">
        <v>144</v>
      </c>
      <c r="F761">
        <v>214</v>
      </c>
      <c r="G761" t="s">
        <v>143</v>
      </c>
    </row>
    <row r="762" spans="1:7" x14ac:dyDescent="0.35">
      <c r="A762" t="s">
        <v>21</v>
      </c>
      <c r="B762" t="s">
        <v>82</v>
      </c>
      <c r="C762" t="s">
        <v>58</v>
      </c>
      <c r="D762">
        <v>2024</v>
      </c>
      <c r="E762" t="s">
        <v>60</v>
      </c>
      <c r="F762">
        <v>22</v>
      </c>
      <c r="G762" t="s">
        <v>143</v>
      </c>
    </row>
    <row r="763" spans="1:7" x14ac:dyDescent="0.35">
      <c r="A763" t="s">
        <v>21</v>
      </c>
      <c r="B763" t="s">
        <v>82</v>
      </c>
      <c r="C763" t="s">
        <v>58</v>
      </c>
      <c r="D763">
        <v>2024</v>
      </c>
      <c r="E763" t="s">
        <v>61</v>
      </c>
      <c r="F763">
        <v>49</v>
      </c>
      <c r="G763" t="s">
        <v>143</v>
      </c>
    </row>
    <row r="764" spans="1:7" x14ac:dyDescent="0.35">
      <c r="A764" t="s">
        <v>21</v>
      </c>
      <c r="B764" t="s">
        <v>82</v>
      </c>
      <c r="C764" t="s">
        <v>58</v>
      </c>
      <c r="D764">
        <v>2024</v>
      </c>
      <c r="E764" t="s">
        <v>63</v>
      </c>
      <c r="F764">
        <v>93</v>
      </c>
      <c r="G764" t="s">
        <v>143</v>
      </c>
    </row>
    <row r="765" spans="1:7" x14ac:dyDescent="0.35">
      <c r="A765" t="s">
        <v>21</v>
      </c>
      <c r="B765" t="s">
        <v>82</v>
      </c>
      <c r="C765" t="s">
        <v>58</v>
      </c>
      <c r="D765">
        <v>2024</v>
      </c>
      <c r="E765" t="s">
        <v>144</v>
      </c>
      <c r="F765">
        <v>129</v>
      </c>
      <c r="G765" t="s">
        <v>143</v>
      </c>
    </row>
    <row r="766" spans="1:7" x14ac:dyDescent="0.35">
      <c r="A766" t="s">
        <v>21</v>
      </c>
      <c r="B766" t="s">
        <v>82</v>
      </c>
      <c r="C766" t="s">
        <v>58</v>
      </c>
      <c r="D766">
        <v>2025</v>
      </c>
      <c r="E766" t="s">
        <v>60</v>
      </c>
      <c r="F766">
        <v>39</v>
      </c>
      <c r="G766" t="s">
        <v>143</v>
      </c>
    </row>
    <row r="767" spans="1:7" x14ac:dyDescent="0.35">
      <c r="A767" t="s">
        <v>21</v>
      </c>
      <c r="B767" t="s">
        <v>82</v>
      </c>
      <c r="C767" t="s">
        <v>58</v>
      </c>
      <c r="D767">
        <v>2025</v>
      </c>
      <c r="E767" t="s">
        <v>61</v>
      </c>
      <c r="F767">
        <v>170</v>
      </c>
      <c r="G767" t="s">
        <v>143</v>
      </c>
    </row>
    <row r="768" spans="1:7" x14ac:dyDescent="0.35">
      <c r="A768" t="s">
        <v>21</v>
      </c>
      <c r="B768" t="s">
        <v>82</v>
      </c>
      <c r="C768" t="s">
        <v>58</v>
      </c>
      <c r="D768">
        <v>2025</v>
      </c>
      <c r="E768" t="s">
        <v>63</v>
      </c>
      <c r="F768">
        <v>15</v>
      </c>
      <c r="G768" t="s">
        <v>143</v>
      </c>
    </row>
    <row r="769" spans="1:7" x14ac:dyDescent="0.35">
      <c r="A769" t="s">
        <v>21</v>
      </c>
      <c r="B769" t="s">
        <v>82</v>
      </c>
      <c r="C769" t="s">
        <v>58</v>
      </c>
      <c r="D769">
        <v>2025</v>
      </c>
      <c r="E769" t="s">
        <v>144</v>
      </c>
      <c r="F769">
        <v>40</v>
      </c>
      <c r="G769" t="s">
        <v>143</v>
      </c>
    </row>
    <row r="770" spans="1:7" x14ac:dyDescent="0.35">
      <c r="A770" t="s">
        <v>21</v>
      </c>
      <c r="B770" t="s">
        <v>82</v>
      </c>
      <c r="C770" t="s">
        <v>58</v>
      </c>
      <c r="D770">
        <v>2026</v>
      </c>
      <c r="E770" t="s">
        <v>60</v>
      </c>
      <c r="F770">
        <v>49</v>
      </c>
      <c r="G770" t="s">
        <v>143</v>
      </c>
    </row>
    <row r="771" spans="1:7" x14ac:dyDescent="0.35">
      <c r="A771" t="s">
        <v>21</v>
      </c>
      <c r="B771" t="s">
        <v>82</v>
      </c>
      <c r="C771" t="s">
        <v>59</v>
      </c>
      <c r="D771">
        <v>2022</v>
      </c>
      <c r="E771" t="s">
        <v>60</v>
      </c>
      <c r="F771">
        <v>6835</v>
      </c>
      <c r="G771" t="s">
        <v>143</v>
      </c>
    </row>
    <row r="772" spans="1:7" x14ac:dyDescent="0.35">
      <c r="A772" t="s">
        <v>21</v>
      </c>
      <c r="B772" t="s">
        <v>82</v>
      </c>
      <c r="C772" t="s">
        <v>59</v>
      </c>
      <c r="D772">
        <v>2022</v>
      </c>
      <c r="E772" t="s">
        <v>61</v>
      </c>
      <c r="F772">
        <v>6868</v>
      </c>
      <c r="G772" t="s">
        <v>143</v>
      </c>
    </row>
    <row r="773" spans="1:7" x14ac:dyDescent="0.35">
      <c r="A773" t="s">
        <v>21</v>
      </c>
      <c r="B773" t="s">
        <v>82</v>
      </c>
      <c r="C773" t="s">
        <v>59</v>
      </c>
      <c r="D773">
        <v>2022</v>
      </c>
      <c r="E773" t="s">
        <v>63</v>
      </c>
      <c r="F773">
        <v>7175</v>
      </c>
      <c r="G773" t="s">
        <v>143</v>
      </c>
    </row>
    <row r="774" spans="1:7" x14ac:dyDescent="0.35">
      <c r="A774" t="s">
        <v>21</v>
      </c>
      <c r="B774" t="s">
        <v>82</v>
      </c>
      <c r="C774" t="s">
        <v>59</v>
      </c>
      <c r="D774">
        <v>2022</v>
      </c>
      <c r="E774" t="s">
        <v>144</v>
      </c>
      <c r="F774">
        <v>6171</v>
      </c>
      <c r="G774" t="s">
        <v>143</v>
      </c>
    </row>
    <row r="775" spans="1:7" x14ac:dyDescent="0.35">
      <c r="A775" t="s">
        <v>21</v>
      </c>
      <c r="B775" t="s">
        <v>82</v>
      </c>
      <c r="C775" t="s">
        <v>59</v>
      </c>
      <c r="D775">
        <v>2023</v>
      </c>
      <c r="E775" t="s">
        <v>60</v>
      </c>
      <c r="F775">
        <v>4774</v>
      </c>
      <c r="G775" t="s">
        <v>143</v>
      </c>
    </row>
    <row r="776" spans="1:7" x14ac:dyDescent="0.35">
      <c r="A776" t="s">
        <v>21</v>
      </c>
      <c r="B776" t="s">
        <v>82</v>
      </c>
      <c r="C776" t="s">
        <v>59</v>
      </c>
      <c r="D776">
        <v>2023</v>
      </c>
      <c r="E776" t="s">
        <v>61</v>
      </c>
      <c r="F776">
        <v>4420</v>
      </c>
      <c r="G776" t="s">
        <v>143</v>
      </c>
    </row>
    <row r="777" spans="1:7" x14ac:dyDescent="0.35">
      <c r="A777" t="s">
        <v>21</v>
      </c>
      <c r="B777" t="s">
        <v>82</v>
      </c>
      <c r="C777" t="s">
        <v>59</v>
      </c>
      <c r="D777">
        <v>2023</v>
      </c>
      <c r="E777" t="s">
        <v>63</v>
      </c>
      <c r="F777">
        <v>5935</v>
      </c>
      <c r="G777" t="s">
        <v>143</v>
      </c>
    </row>
    <row r="778" spans="1:7" x14ac:dyDescent="0.35">
      <c r="A778" t="s">
        <v>21</v>
      </c>
      <c r="B778" t="s">
        <v>82</v>
      </c>
      <c r="C778" t="s">
        <v>59</v>
      </c>
      <c r="D778">
        <v>2023</v>
      </c>
      <c r="E778" t="s">
        <v>144</v>
      </c>
      <c r="F778">
        <v>5522</v>
      </c>
      <c r="G778" t="s">
        <v>143</v>
      </c>
    </row>
    <row r="779" spans="1:7" x14ac:dyDescent="0.35">
      <c r="A779" t="s">
        <v>21</v>
      </c>
      <c r="B779" t="s">
        <v>82</v>
      </c>
      <c r="C779" t="s">
        <v>59</v>
      </c>
      <c r="D779">
        <v>2024</v>
      </c>
      <c r="E779" t="s">
        <v>60</v>
      </c>
      <c r="F779">
        <v>4401</v>
      </c>
      <c r="G779" t="s">
        <v>143</v>
      </c>
    </row>
    <row r="780" spans="1:7" x14ac:dyDescent="0.35">
      <c r="A780" t="s">
        <v>21</v>
      </c>
      <c r="B780" t="s">
        <v>82</v>
      </c>
      <c r="C780" t="s">
        <v>59</v>
      </c>
      <c r="D780">
        <v>2024</v>
      </c>
      <c r="E780" t="s">
        <v>61</v>
      </c>
      <c r="F780">
        <v>6592</v>
      </c>
      <c r="G780" t="s">
        <v>143</v>
      </c>
    </row>
    <row r="781" spans="1:7" x14ac:dyDescent="0.35">
      <c r="A781" t="s">
        <v>21</v>
      </c>
      <c r="B781" t="s">
        <v>82</v>
      </c>
      <c r="C781" t="s">
        <v>59</v>
      </c>
      <c r="D781">
        <v>2024</v>
      </c>
      <c r="E781" t="s">
        <v>63</v>
      </c>
      <c r="F781">
        <v>4649</v>
      </c>
      <c r="G781" t="s">
        <v>143</v>
      </c>
    </row>
    <row r="782" spans="1:7" x14ac:dyDescent="0.35">
      <c r="A782" t="s">
        <v>21</v>
      </c>
      <c r="B782" t="s">
        <v>82</v>
      </c>
      <c r="C782" t="s">
        <v>59</v>
      </c>
      <c r="D782">
        <v>2024</v>
      </c>
      <c r="E782" t="s">
        <v>144</v>
      </c>
      <c r="F782">
        <v>5582</v>
      </c>
      <c r="G782" t="s">
        <v>143</v>
      </c>
    </row>
    <row r="783" spans="1:7" x14ac:dyDescent="0.35">
      <c r="A783" t="s">
        <v>21</v>
      </c>
      <c r="B783" t="s">
        <v>82</v>
      </c>
      <c r="C783" t="s">
        <v>59</v>
      </c>
      <c r="D783">
        <v>2025</v>
      </c>
      <c r="E783" t="s">
        <v>60</v>
      </c>
      <c r="F783">
        <v>4759</v>
      </c>
      <c r="G783" t="s">
        <v>143</v>
      </c>
    </row>
    <row r="784" spans="1:7" x14ac:dyDescent="0.35">
      <c r="A784" t="s">
        <v>21</v>
      </c>
      <c r="B784" t="s">
        <v>82</v>
      </c>
      <c r="C784" t="s">
        <v>59</v>
      </c>
      <c r="D784">
        <v>2025</v>
      </c>
      <c r="E784" t="s">
        <v>61</v>
      </c>
      <c r="F784">
        <v>5140</v>
      </c>
      <c r="G784" t="s">
        <v>143</v>
      </c>
    </row>
    <row r="785" spans="1:7" x14ac:dyDescent="0.35">
      <c r="A785" t="s">
        <v>21</v>
      </c>
      <c r="B785" t="s">
        <v>82</v>
      </c>
      <c r="C785" t="s">
        <v>59</v>
      </c>
      <c r="D785">
        <v>2025</v>
      </c>
      <c r="E785" t="s">
        <v>63</v>
      </c>
      <c r="F785">
        <v>5852</v>
      </c>
      <c r="G785" t="s">
        <v>143</v>
      </c>
    </row>
    <row r="786" spans="1:7" x14ac:dyDescent="0.35">
      <c r="A786" t="s">
        <v>21</v>
      </c>
      <c r="B786" t="s">
        <v>82</v>
      </c>
      <c r="C786" t="s">
        <v>59</v>
      </c>
      <c r="D786">
        <v>2025</v>
      </c>
      <c r="E786" t="s">
        <v>144</v>
      </c>
      <c r="F786">
        <v>5293</v>
      </c>
      <c r="G786" t="s">
        <v>143</v>
      </c>
    </row>
    <row r="787" spans="1:7" x14ac:dyDescent="0.35">
      <c r="A787" t="s">
        <v>21</v>
      </c>
      <c r="B787" t="s">
        <v>82</v>
      </c>
      <c r="C787" t="s">
        <v>59</v>
      </c>
      <c r="D787">
        <v>2026</v>
      </c>
      <c r="E787" t="s">
        <v>60</v>
      </c>
      <c r="F787">
        <v>4320</v>
      </c>
      <c r="G787" t="s">
        <v>143</v>
      </c>
    </row>
    <row r="788" spans="1:7" x14ac:dyDescent="0.35">
      <c r="A788" t="s">
        <v>22</v>
      </c>
      <c r="B788" t="s">
        <v>46</v>
      </c>
      <c r="C788" t="s">
        <v>57</v>
      </c>
      <c r="D788">
        <v>2022</v>
      </c>
      <c r="E788" t="s">
        <v>60</v>
      </c>
      <c r="F788">
        <v>2250</v>
      </c>
      <c r="G788" t="s">
        <v>143</v>
      </c>
    </row>
    <row r="789" spans="1:7" x14ac:dyDescent="0.35">
      <c r="A789" t="s">
        <v>22</v>
      </c>
      <c r="B789" t="s">
        <v>46</v>
      </c>
      <c r="C789" t="s">
        <v>57</v>
      </c>
      <c r="D789">
        <v>2022</v>
      </c>
      <c r="E789" t="s">
        <v>61</v>
      </c>
      <c r="F789">
        <v>2977</v>
      </c>
      <c r="G789" t="s">
        <v>143</v>
      </c>
    </row>
    <row r="790" spans="1:7" x14ac:dyDescent="0.35">
      <c r="A790" t="s">
        <v>22</v>
      </c>
      <c r="B790" t="s">
        <v>46</v>
      </c>
      <c r="C790" t="s">
        <v>57</v>
      </c>
      <c r="D790">
        <v>2022</v>
      </c>
      <c r="E790" t="s">
        <v>63</v>
      </c>
      <c r="F790">
        <v>2245</v>
      </c>
      <c r="G790" t="s">
        <v>143</v>
      </c>
    </row>
    <row r="791" spans="1:7" x14ac:dyDescent="0.35">
      <c r="A791" t="s">
        <v>22</v>
      </c>
      <c r="B791" t="s">
        <v>46</v>
      </c>
      <c r="C791" t="s">
        <v>57</v>
      </c>
      <c r="D791">
        <v>2022</v>
      </c>
      <c r="E791" t="s">
        <v>144</v>
      </c>
      <c r="F791">
        <v>2038</v>
      </c>
      <c r="G791" t="s">
        <v>143</v>
      </c>
    </row>
    <row r="792" spans="1:7" x14ac:dyDescent="0.35">
      <c r="A792" t="s">
        <v>22</v>
      </c>
      <c r="B792" t="s">
        <v>46</v>
      </c>
      <c r="C792" t="s">
        <v>57</v>
      </c>
      <c r="D792">
        <v>2023</v>
      </c>
      <c r="E792" t="s">
        <v>60</v>
      </c>
      <c r="F792">
        <v>2449</v>
      </c>
      <c r="G792" t="s">
        <v>143</v>
      </c>
    </row>
    <row r="793" spans="1:7" x14ac:dyDescent="0.35">
      <c r="A793" t="s">
        <v>22</v>
      </c>
      <c r="B793" t="s">
        <v>46</v>
      </c>
      <c r="C793" t="s">
        <v>57</v>
      </c>
      <c r="D793">
        <v>2023</v>
      </c>
      <c r="E793" t="s">
        <v>61</v>
      </c>
      <c r="F793">
        <v>1983</v>
      </c>
      <c r="G793" t="s">
        <v>143</v>
      </c>
    </row>
    <row r="794" spans="1:7" x14ac:dyDescent="0.35">
      <c r="A794" t="s">
        <v>22</v>
      </c>
      <c r="B794" t="s">
        <v>46</v>
      </c>
      <c r="C794" t="s">
        <v>57</v>
      </c>
      <c r="D794">
        <v>2023</v>
      </c>
      <c r="E794" t="s">
        <v>63</v>
      </c>
      <c r="F794">
        <v>1766</v>
      </c>
      <c r="G794" t="s">
        <v>143</v>
      </c>
    </row>
    <row r="795" spans="1:7" x14ac:dyDescent="0.35">
      <c r="A795" t="s">
        <v>22</v>
      </c>
      <c r="B795" t="s">
        <v>46</v>
      </c>
      <c r="C795" t="s">
        <v>57</v>
      </c>
      <c r="D795">
        <v>2023</v>
      </c>
      <c r="E795" t="s">
        <v>144</v>
      </c>
      <c r="F795">
        <v>2059</v>
      </c>
      <c r="G795" t="s">
        <v>143</v>
      </c>
    </row>
    <row r="796" spans="1:7" x14ac:dyDescent="0.35">
      <c r="A796" t="s">
        <v>22</v>
      </c>
      <c r="B796" t="s">
        <v>46</v>
      </c>
      <c r="C796" t="s">
        <v>57</v>
      </c>
      <c r="D796">
        <v>2024</v>
      </c>
      <c r="E796" t="s">
        <v>60</v>
      </c>
      <c r="F796">
        <v>2046</v>
      </c>
      <c r="G796" t="s">
        <v>143</v>
      </c>
    </row>
    <row r="797" spans="1:7" x14ac:dyDescent="0.35">
      <c r="A797" t="s">
        <v>22</v>
      </c>
      <c r="B797" t="s">
        <v>46</v>
      </c>
      <c r="C797" t="s">
        <v>57</v>
      </c>
      <c r="D797">
        <v>2024</v>
      </c>
      <c r="E797" t="s">
        <v>61</v>
      </c>
      <c r="F797">
        <v>2183</v>
      </c>
      <c r="G797" t="s">
        <v>143</v>
      </c>
    </row>
    <row r="798" spans="1:7" x14ac:dyDescent="0.35">
      <c r="A798" t="s">
        <v>22</v>
      </c>
      <c r="B798" t="s">
        <v>46</v>
      </c>
      <c r="C798" t="s">
        <v>57</v>
      </c>
      <c r="D798">
        <v>2024</v>
      </c>
      <c r="E798" t="s">
        <v>63</v>
      </c>
      <c r="F798">
        <v>2174</v>
      </c>
      <c r="G798" t="s">
        <v>143</v>
      </c>
    </row>
    <row r="799" spans="1:7" x14ac:dyDescent="0.35">
      <c r="A799" t="s">
        <v>22</v>
      </c>
      <c r="B799" t="s">
        <v>46</v>
      </c>
      <c r="C799" t="s">
        <v>57</v>
      </c>
      <c r="D799">
        <v>2024</v>
      </c>
      <c r="E799" t="s">
        <v>144</v>
      </c>
      <c r="F799">
        <v>2370</v>
      </c>
      <c r="G799" t="s">
        <v>143</v>
      </c>
    </row>
    <row r="800" spans="1:7" x14ac:dyDescent="0.35">
      <c r="A800" t="s">
        <v>22</v>
      </c>
      <c r="B800" t="s">
        <v>46</v>
      </c>
      <c r="C800" t="s">
        <v>57</v>
      </c>
      <c r="D800">
        <v>2025</v>
      </c>
      <c r="E800" t="s">
        <v>60</v>
      </c>
      <c r="F800">
        <v>2410</v>
      </c>
      <c r="G800" t="s">
        <v>143</v>
      </c>
    </row>
    <row r="801" spans="1:7" x14ac:dyDescent="0.35">
      <c r="A801" t="s">
        <v>22</v>
      </c>
      <c r="B801" t="s">
        <v>46</v>
      </c>
      <c r="C801" t="s">
        <v>57</v>
      </c>
      <c r="D801">
        <v>2025</v>
      </c>
      <c r="E801" t="s">
        <v>61</v>
      </c>
      <c r="F801">
        <v>2290</v>
      </c>
      <c r="G801" t="s">
        <v>143</v>
      </c>
    </row>
    <row r="802" spans="1:7" x14ac:dyDescent="0.35">
      <c r="A802" t="s">
        <v>22</v>
      </c>
      <c r="B802" t="s">
        <v>46</v>
      </c>
      <c r="C802" t="s">
        <v>57</v>
      </c>
      <c r="D802">
        <v>2025</v>
      </c>
      <c r="E802" t="s">
        <v>63</v>
      </c>
      <c r="F802">
        <v>2124</v>
      </c>
      <c r="G802" t="s">
        <v>143</v>
      </c>
    </row>
    <row r="803" spans="1:7" x14ac:dyDescent="0.35">
      <c r="A803" t="s">
        <v>22</v>
      </c>
      <c r="B803" t="s">
        <v>46</v>
      </c>
      <c r="C803" t="s">
        <v>57</v>
      </c>
      <c r="D803">
        <v>2025</v>
      </c>
      <c r="E803" t="s">
        <v>144</v>
      </c>
      <c r="F803">
        <v>2165</v>
      </c>
      <c r="G803" t="s">
        <v>143</v>
      </c>
    </row>
    <row r="804" spans="1:7" x14ac:dyDescent="0.35">
      <c r="A804" t="s">
        <v>22</v>
      </c>
      <c r="B804" t="s">
        <v>46</v>
      </c>
      <c r="C804" t="s">
        <v>57</v>
      </c>
      <c r="D804">
        <v>2026</v>
      </c>
      <c r="E804" t="s">
        <v>60</v>
      </c>
      <c r="F804">
        <v>2175</v>
      </c>
      <c r="G804" t="s">
        <v>143</v>
      </c>
    </row>
    <row r="805" spans="1:7" x14ac:dyDescent="0.35">
      <c r="A805" t="s">
        <v>22</v>
      </c>
      <c r="B805" t="s">
        <v>46</v>
      </c>
      <c r="C805" t="s">
        <v>58</v>
      </c>
      <c r="D805">
        <v>2022</v>
      </c>
      <c r="E805" t="s">
        <v>60</v>
      </c>
      <c r="F805">
        <v>114</v>
      </c>
      <c r="G805" t="s">
        <v>143</v>
      </c>
    </row>
    <row r="806" spans="1:7" x14ac:dyDescent="0.35">
      <c r="A806" t="s">
        <v>22</v>
      </c>
      <c r="B806" t="s">
        <v>46</v>
      </c>
      <c r="C806" t="s">
        <v>58</v>
      </c>
      <c r="D806">
        <v>2022</v>
      </c>
      <c r="E806" t="s">
        <v>61</v>
      </c>
      <c r="F806">
        <v>128</v>
      </c>
      <c r="G806" t="s">
        <v>143</v>
      </c>
    </row>
    <row r="807" spans="1:7" x14ac:dyDescent="0.35">
      <c r="A807" t="s">
        <v>22</v>
      </c>
      <c r="B807" t="s">
        <v>46</v>
      </c>
      <c r="C807" t="s">
        <v>58</v>
      </c>
      <c r="D807">
        <v>2022</v>
      </c>
      <c r="E807" t="s">
        <v>63</v>
      </c>
      <c r="F807">
        <v>111</v>
      </c>
      <c r="G807" t="s">
        <v>143</v>
      </c>
    </row>
    <row r="808" spans="1:7" x14ac:dyDescent="0.35">
      <c r="A808" t="s">
        <v>22</v>
      </c>
      <c r="B808" t="s">
        <v>46</v>
      </c>
      <c r="C808" t="s">
        <v>58</v>
      </c>
      <c r="D808">
        <v>2022</v>
      </c>
      <c r="E808" t="s">
        <v>144</v>
      </c>
      <c r="F808">
        <v>145</v>
      </c>
      <c r="G808" t="s">
        <v>143</v>
      </c>
    </row>
    <row r="809" spans="1:7" x14ac:dyDescent="0.35">
      <c r="A809" t="s">
        <v>22</v>
      </c>
      <c r="B809" t="s">
        <v>46</v>
      </c>
      <c r="C809" t="s">
        <v>58</v>
      </c>
      <c r="D809">
        <v>2023</v>
      </c>
      <c r="E809" t="s">
        <v>60</v>
      </c>
      <c r="F809">
        <v>11</v>
      </c>
      <c r="G809" t="s">
        <v>143</v>
      </c>
    </row>
    <row r="810" spans="1:7" x14ac:dyDescent="0.35">
      <c r="A810" t="s">
        <v>22</v>
      </c>
      <c r="B810" t="s">
        <v>46</v>
      </c>
      <c r="C810" t="s">
        <v>58</v>
      </c>
      <c r="D810">
        <v>2023</v>
      </c>
      <c r="E810" t="s">
        <v>61</v>
      </c>
      <c r="F810">
        <v>108</v>
      </c>
      <c r="G810" t="s">
        <v>143</v>
      </c>
    </row>
    <row r="811" spans="1:7" x14ac:dyDescent="0.35">
      <c r="A811" t="s">
        <v>22</v>
      </c>
      <c r="B811" t="s">
        <v>46</v>
      </c>
      <c r="C811" t="s">
        <v>58</v>
      </c>
      <c r="D811">
        <v>2023</v>
      </c>
      <c r="E811" t="s">
        <v>63</v>
      </c>
      <c r="F811">
        <v>113</v>
      </c>
      <c r="G811" t="s">
        <v>143</v>
      </c>
    </row>
    <row r="812" spans="1:7" x14ac:dyDescent="0.35">
      <c r="A812" t="s">
        <v>22</v>
      </c>
      <c r="B812" t="s">
        <v>46</v>
      </c>
      <c r="C812" t="s">
        <v>58</v>
      </c>
      <c r="D812">
        <v>2023</v>
      </c>
      <c r="E812" t="s">
        <v>144</v>
      </c>
      <c r="F812">
        <v>124</v>
      </c>
      <c r="G812" t="s">
        <v>143</v>
      </c>
    </row>
    <row r="813" spans="1:7" x14ac:dyDescent="0.35">
      <c r="A813" t="s">
        <v>22</v>
      </c>
      <c r="B813" t="s">
        <v>46</v>
      </c>
      <c r="C813" t="s">
        <v>58</v>
      </c>
      <c r="D813">
        <v>2024</v>
      </c>
      <c r="E813" t="s">
        <v>60</v>
      </c>
      <c r="F813">
        <v>136</v>
      </c>
      <c r="G813" t="s">
        <v>143</v>
      </c>
    </row>
    <row r="814" spans="1:7" x14ac:dyDescent="0.35">
      <c r="A814" t="s">
        <v>22</v>
      </c>
      <c r="B814" t="s">
        <v>46</v>
      </c>
      <c r="C814" t="s">
        <v>58</v>
      </c>
      <c r="D814">
        <v>2024</v>
      </c>
      <c r="E814" t="s">
        <v>61</v>
      </c>
      <c r="F814">
        <v>136</v>
      </c>
      <c r="G814" t="s">
        <v>143</v>
      </c>
    </row>
    <row r="815" spans="1:7" x14ac:dyDescent="0.35">
      <c r="A815" t="s">
        <v>22</v>
      </c>
      <c r="B815" t="s">
        <v>46</v>
      </c>
      <c r="C815" t="s">
        <v>58</v>
      </c>
      <c r="D815">
        <v>2024</v>
      </c>
      <c r="E815" t="s">
        <v>63</v>
      </c>
      <c r="F815">
        <v>114</v>
      </c>
      <c r="G815" t="s">
        <v>143</v>
      </c>
    </row>
    <row r="816" spans="1:7" x14ac:dyDescent="0.35">
      <c r="A816" t="s">
        <v>22</v>
      </c>
      <c r="B816" t="s">
        <v>46</v>
      </c>
      <c r="C816" t="s">
        <v>58</v>
      </c>
      <c r="D816">
        <v>2024</v>
      </c>
      <c r="E816" t="s">
        <v>144</v>
      </c>
      <c r="F816">
        <v>148</v>
      </c>
      <c r="G816" t="s">
        <v>143</v>
      </c>
    </row>
    <row r="817" spans="1:7" x14ac:dyDescent="0.35">
      <c r="A817" t="s">
        <v>22</v>
      </c>
      <c r="B817" t="s">
        <v>46</v>
      </c>
      <c r="C817" t="s">
        <v>58</v>
      </c>
      <c r="D817">
        <v>2025</v>
      </c>
      <c r="E817" t="s">
        <v>60</v>
      </c>
      <c r="F817">
        <v>98</v>
      </c>
      <c r="G817" t="s">
        <v>143</v>
      </c>
    </row>
    <row r="818" spans="1:7" x14ac:dyDescent="0.35">
      <c r="A818" t="s">
        <v>22</v>
      </c>
      <c r="B818" t="s">
        <v>46</v>
      </c>
      <c r="C818" t="s">
        <v>58</v>
      </c>
      <c r="D818">
        <v>2025</v>
      </c>
      <c r="E818" t="s">
        <v>61</v>
      </c>
      <c r="F818">
        <v>115</v>
      </c>
      <c r="G818" t="s">
        <v>143</v>
      </c>
    </row>
    <row r="819" spans="1:7" x14ac:dyDescent="0.35">
      <c r="A819" t="s">
        <v>22</v>
      </c>
      <c r="B819" t="s">
        <v>46</v>
      </c>
      <c r="C819" t="s">
        <v>58</v>
      </c>
      <c r="D819">
        <v>2025</v>
      </c>
      <c r="E819" t="s">
        <v>63</v>
      </c>
      <c r="F819">
        <v>134</v>
      </c>
      <c r="G819" t="s">
        <v>143</v>
      </c>
    </row>
    <row r="820" spans="1:7" x14ac:dyDescent="0.35">
      <c r="A820" t="s">
        <v>22</v>
      </c>
      <c r="B820" t="s">
        <v>46</v>
      </c>
      <c r="C820" t="s">
        <v>58</v>
      </c>
      <c r="D820">
        <v>2025</v>
      </c>
      <c r="E820" t="s">
        <v>144</v>
      </c>
      <c r="F820">
        <v>172</v>
      </c>
      <c r="G820" t="s">
        <v>143</v>
      </c>
    </row>
    <row r="821" spans="1:7" x14ac:dyDescent="0.35">
      <c r="A821" t="s">
        <v>22</v>
      </c>
      <c r="B821" t="s">
        <v>46</v>
      </c>
      <c r="C821" t="s">
        <v>58</v>
      </c>
      <c r="D821">
        <v>2026</v>
      </c>
      <c r="E821" t="s">
        <v>60</v>
      </c>
      <c r="F821">
        <v>89.4</v>
      </c>
      <c r="G821" t="s">
        <v>143</v>
      </c>
    </row>
    <row r="822" spans="1:7" x14ac:dyDescent="0.35">
      <c r="A822" t="s">
        <v>22</v>
      </c>
      <c r="B822" t="s">
        <v>46</v>
      </c>
      <c r="C822" t="s">
        <v>59</v>
      </c>
      <c r="D822">
        <v>2022</v>
      </c>
      <c r="E822" t="s">
        <v>60</v>
      </c>
      <c r="F822">
        <v>1139</v>
      </c>
      <c r="G822" t="s">
        <v>143</v>
      </c>
    </row>
    <row r="823" spans="1:7" x14ac:dyDescent="0.35">
      <c r="A823" t="s">
        <v>22</v>
      </c>
      <c r="B823" t="s">
        <v>46</v>
      </c>
      <c r="C823" t="s">
        <v>59</v>
      </c>
      <c r="D823">
        <v>2022</v>
      </c>
      <c r="E823" t="s">
        <v>61</v>
      </c>
      <c r="F823">
        <v>-38</v>
      </c>
      <c r="G823" t="s">
        <v>143</v>
      </c>
    </row>
    <row r="824" spans="1:7" x14ac:dyDescent="0.35">
      <c r="A824" t="s">
        <v>22</v>
      </c>
      <c r="B824" t="s">
        <v>46</v>
      </c>
      <c r="C824" t="s">
        <v>59</v>
      </c>
      <c r="D824">
        <v>2022</v>
      </c>
      <c r="E824" t="s">
        <v>144</v>
      </c>
      <c r="F824">
        <v>732</v>
      </c>
      <c r="G824" t="s">
        <v>143</v>
      </c>
    </row>
    <row r="825" spans="1:7" x14ac:dyDescent="0.35">
      <c r="A825" t="s">
        <v>22</v>
      </c>
      <c r="B825" t="s">
        <v>46</v>
      </c>
      <c r="C825" t="s">
        <v>59</v>
      </c>
      <c r="D825">
        <v>2023</v>
      </c>
      <c r="E825" t="s">
        <v>60</v>
      </c>
      <c r="F825">
        <v>2115</v>
      </c>
      <c r="G825" t="s">
        <v>143</v>
      </c>
    </row>
    <row r="826" spans="1:7" x14ac:dyDescent="0.35">
      <c r="A826" t="s">
        <v>22</v>
      </c>
      <c r="B826" t="s">
        <v>46</v>
      </c>
      <c r="C826" t="s">
        <v>59</v>
      </c>
      <c r="D826">
        <v>2023</v>
      </c>
      <c r="E826" t="s">
        <v>61</v>
      </c>
      <c r="F826">
        <v>-949</v>
      </c>
      <c r="G826" t="s">
        <v>143</v>
      </c>
    </row>
    <row r="827" spans="1:7" x14ac:dyDescent="0.35">
      <c r="A827" t="s">
        <v>22</v>
      </c>
      <c r="B827" t="s">
        <v>46</v>
      </c>
      <c r="C827" t="s">
        <v>59</v>
      </c>
      <c r="D827">
        <v>2023</v>
      </c>
      <c r="E827" t="s">
        <v>63</v>
      </c>
      <c r="F827">
        <v>2616</v>
      </c>
      <c r="G827" t="s">
        <v>143</v>
      </c>
    </row>
    <row r="828" spans="1:7" x14ac:dyDescent="0.35">
      <c r="A828" t="s">
        <v>22</v>
      </c>
      <c r="B828" t="s">
        <v>46</v>
      </c>
      <c r="C828" t="s">
        <v>59</v>
      </c>
      <c r="D828">
        <v>2023</v>
      </c>
      <c r="E828" t="s">
        <v>144</v>
      </c>
      <c r="F828">
        <v>124</v>
      </c>
      <c r="G828" t="s">
        <v>143</v>
      </c>
    </row>
    <row r="829" spans="1:7" x14ac:dyDescent="0.35">
      <c r="A829" t="s">
        <v>22</v>
      </c>
      <c r="B829" t="s">
        <v>46</v>
      </c>
      <c r="C829" t="s">
        <v>59</v>
      </c>
      <c r="D829">
        <v>2024</v>
      </c>
      <c r="E829" t="s">
        <v>60</v>
      </c>
      <c r="F829">
        <v>1850</v>
      </c>
      <c r="G829" t="s">
        <v>143</v>
      </c>
    </row>
    <row r="830" spans="1:7" x14ac:dyDescent="0.35">
      <c r="A830" t="s">
        <v>22</v>
      </c>
      <c r="B830" t="s">
        <v>46</v>
      </c>
      <c r="C830" t="s">
        <v>59</v>
      </c>
      <c r="D830">
        <v>2024</v>
      </c>
      <c r="E830" t="s">
        <v>61</v>
      </c>
      <c r="F830">
        <v>692</v>
      </c>
      <c r="G830" t="s">
        <v>143</v>
      </c>
    </row>
    <row r="831" spans="1:7" x14ac:dyDescent="0.35">
      <c r="A831" t="s">
        <v>22</v>
      </c>
      <c r="B831" t="s">
        <v>46</v>
      </c>
      <c r="C831" t="s">
        <v>59</v>
      </c>
      <c r="D831">
        <v>2024</v>
      </c>
      <c r="E831" t="s">
        <v>63</v>
      </c>
      <c r="F831">
        <v>2447</v>
      </c>
      <c r="G831" t="s">
        <v>143</v>
      </c>
    </row>
    <row r="832" spans="1:7" x14ac:dyDescent="0.35">
      <c r="A832" t="s">
        <v>22</v>
      </c>
      <c r="B832" t="s">
        <v>46</v>
      </c>
      <c r="C832" t="s">
        <v>59</v>
      </c>
      <c r="D832">
        <v>2024</v>
      </c>
      <c r="E832" t="s">
        <v>144</v>
      </c>
      <c r="F832">
        <v>216</v>
      </c>
      <c r="G832" t="s">
        <v>143</v>
      </c>
    </row>
    <row r="833" spans="1:7" x14ac:dyDescent="0.35">
      <c r="A833" t="s">
        <v>22</v>
      </c>
      <c r="B833" t="s">
        <v>46</v>
      </c>
      <c r="C833" t="s">
        <v>59</v>
      </c>
      <c r="D833">
        <v>2025</v>
      </c>
      <c r="E833" t="s">
        <v>60</v>
      </c>
      <c r="F833">
        <v>1291</v>
      </c>
      <c r="G833" t="s">
        <v>143</v>
      </c>
    </row>
    <row r="834" spans="1:7" x14ac:dyDescent="0.35">
      <c r="A834" t="s">
        <v>22</v>
      </c>
      <c r="B834" t="s">
        <v>46</v>
      </c>
      <c r="C834" t="s">
        <v>59</v>
      </c>
      <c r="D834">
        <v>2025</v>
      </c>
      <c r="E834" t="s">
        <v>61</v>
      </c>
      <c r="F834">
        <v>823</v>
      </c>
      <c r="G834" t="s">
        <v>143</v>
      </c>
    </row>
    <row r="835" spans="1:7" x14ac:dyDescent="0.35">
      <c r="A835" t="s">
        <v>22</v>
      </c>
      <c r="B835" t="s">
        <v>46</v>
      </c>
      <c r="C835" t="s">
        <v>59</v>
      </c>
      <c r="D835">
        <v>2025</v>
      </c>
      <c r="E835" t="s">
        <v>63</v>
      </c>
      <c r="F835">
        <v>2226</v>
      </c>
      <c r="G835" t="s">
        <v>143</v>
      </c>
    </row>
    <row r="836" spans="1:7" x14ac:dyDescent="0.35">
      <c r="A836" t="s">
        <v>22</v>
      </c>
      <c r="B836" t="s">
        <v>46</v>
      </c>
      <c r="C836" t="s">
        <v>59</v>
      </c>
      <c r="D836">
        <v>2025</v>
      </c>
      <c r="E836" t="s">
        <v>144</v>
      </c>
      <c r="F836">
        <v>474</v>
      </c>
      <c r="G836" t="s">
        <v>143</v>
      </c>
    </row>
    <row r="837" spans="1:7" x14ac:dyDescent="0.35">
      <c r="A837" t="s">
        <v>22</v>
      </c>
      <c r="B837" t="s">
        <v>46</v>
      </c>
      <c r="C837" t="s">
        <v>59</v>
      </c>
      <c r="D837">
        <v>2026</v>
      </c>
      <c r="E837" t="s">
        <v>60</v>
      </c>
      <c r="F837">
        <v>1970.4</v>
      </c>
      <c r="G837" t="s">
        <v>143</v>
      </c>
    </row>
    <row r="838" spans="1:7" x14ac:dyDescent="0.35">
      <c r="A838" t="s">
        <v>23</v>
      </c>
      <c r="B838" t="s">
        <v>83</v>
      </c>
      <c r="C838" t="s">
        <v>57</v>
      </c>
      <c r="D838">
        <v>2022</v>
      </c>
      <c r="E838" t="s">
        <v>60</v>
      </c>
      <c r="F838">
        <v>4476</v>
      </c>
      <c r="G838" t="s">
        <v>143</v>
      </c>
    </row>
    <row r="839" spans="1:7" x14ac:dyDescent="0.35">
      <c r="A839" t="s">
        <v>23</v>
      </c>
      <c r="B839" t="s">
        <v>83</v>
      </c>
      <c r="C839" t="s">
        <v>57</v>
      </c>
      <c r="D839">
        <v>2022</v>
      </c>
      <c r="E839" t="s">
        <v>61</v>
      </c>
      <c r="F839">
        <v>5032</v>
      </c>
      <c r="G839" t="s">
        <v>143</v>
      </c>
    </row>
    <row r="840" spans="1:7" x14ac:dyDescent="0.35">
      <c r="A840" t="s">
        <v>23</v>
      </c>
      <c r="B840" t="s">
        <v>83</v>
      </c>
      <c r="C840" t="s">
        <v>57</v>
      </c>
      <c r="D840">
        <v>2022</v>
      </c>
      <c r="E840" t="s">
        <v>63</v>
      </c>
      <c r="F840">
        <v>5304</v>
      </c>
      <c r="G840" t="s">
        <v>143</v>
      </c>
    </row>
    <row r="841" spans="1:7" x14ac:dyDescent="0.35">
      <c r="A841" t="s">
        <v>23</v>
      </c>
      <c r="B841" t="s">
        <v>83</v>
      </c>
      <c r="C841" t="s">
        <v>57</v>
      </c>
      <c r="D841">
        <v>2022</v>
      </c>
      <c r="E841" t="s">
        <v>144</v>
      </c>
      <c r="F841">
        <v>4906</v>
      </c>
      <c r="G841" t="s">
        <v>143</v>
      </c>
    </row>
    <row r="842" spans="1:7" x14ac:dyDescent="0.35">
      <c r="A842" t="s">
        <v>23</v>
      </c>
      <c r="B842" t="s">
        <v>83</v>
      </c>
      <c r="C842" t="s">
        <v>57</v>
      </c>
      <c r="D842">
        <v>2023</v>
      </c>
      <c r="E842" t="s">
        <v>60</v>
      </c>
      <c r="F842">
        <v>4346</v>
      </c>
      <c r="G842" t="s">
        <v>143</v>
      </c>
    </row>
    <row r="843" spans="1:7" x14ac:dyDescent="0.35">
      <c r="A843" t="s">
        <v>23</v>
      </c>
      <c r="B843" t="s">
        <v>83</v>
      </c>
      <c r="C843" t="s">
        <v>57</v>
      </c>
      <c r="D843">
        <v>2023</v>
      </c>
      <c r="E843" t="s">
        <v>61</v>
      </c>
      <c r="F843">
        <v>3917</v>
      </c>
      <c r="G843" t="s">
        <v>143</v>
      </c>
    </row>
    <row r="844" spans="1:7" x14ac:dyDescent="0.35">
      <c r="A844" t="s">
        <v>23</v>
      </c>
      <c r="B844" t="s">
        <v>83</v>
      </c>
      <c r="C844" t="s">
        <v>57</v>
      </c>
      <c r="D844">
        <v>2023</v>
      </c>
      <c r="E844" t="s">
        <v>63</v>
      </c>
      <c r="F844">
        <v>4141</v>
      </c>
      <c r="G844" t="s">
        <v>143</v>
      </c>
    </row>
    <row r="845" spans="1:7" x14ac:dyDescent="0.35">
      <c r="A845" t="s">
        <v>23</v>
      </c>
      <c r="B845" t="s">
        <v>83</v>
      </c>
      <c r="C845" t="s">
        <v>57</v>
      </c>
      <c r="D845">
        <v>2023</v>
      </c>
      <c r="E845" t="s">
        <v>144</v>
      </c>
      <c r="F845">
        <v>4529</v>
      </c>
      <c r="G845" t="s">
        <v>143</v>
      </c>
    </row>
    <row r="846" spans="1:7" x14ac:dyDescent="0.35">
      <c r="A846" t="s">
        <v>23</v>
      </c>
      <c r="B846" t="s">
        <v>83</v>
      </c>
      <c r="C846" t="s">
        <v>57</v>
      </c>
      <c r="D846">
        <v>2024</v>
      </c>
      <c r="E846" t="s">
        <v>60</v>
      </c>
      <c r="F846">
        <v>4230</v>
      </c>
      <c r="G846" t="s">
        <v>143</v>
      </c>
    </row>
    <row r="847" spans="1:7" x14ac:dyDescent="0.35">
      <c r="A847" t="s">
        <v>23</v>
      </c>
      <c r="B847" t="s">
        <v>83</v>
      </c>
      <c r="C847" t="s">
        <v>57</v>
      </c>
      <c r="D847">
        <v>2024</v>
      </c>
      <c r="E847" t="s">
        <v>61</v>
      </c>
      <c r="F847">
        <v>4232</v>
      </c>
      <c r="G847" t="s">
        <v>143</v>
      </c>
    </row>
    <row r="848" spans="1:7" x14ac:dyDescent="0.35">
      <c r="A848" t="s">
        <v>23</v>
      </c>
      <c r="B848" t="s">
        <v>83</v>
      </c>
      <c r="C848" t="s">
        <v>57</v>
      </c>
      <c r="D848">
        <v>2024</v>
      </c>
      <c r="E848" t="s">
        <v>63</v>
      </c>
      <c r="F848">
        <v>4268</v>
      </c>
      <c r="G848" t="s">
        <v>143</v>
      </c>
    </row>
    <row r="849" spans="1:7" x14ac:dyDescent="0.35">
      <c r="A849" t="s">
        <v>23</v>
      </c>
      <c r="B849" t="s">
        <v>83</v>
      </c>
      <c r="C849" t="s">
        <v>57</v>
      </c>
      <c r="D849">
        <v>2024</v>
      </c>
      <c r="E849" t="s">
        <v>144</v>
      </c>
      <c r="F849">
        <v>4021</v>
      </c>
      <c r="G849" t="s">
        <v>143</v>
      </c>
    </row>
    <row r="850" spans="1:7" x14ac:dyDescent="0.35">
      <c r="A850" t="s">
        <v>23</v>
      </c>
      <c r="B850" t="s">
        <v>83</v>
      </c>
      <c r="C850" t="s">
        <v>57</v>
      </c>
      <c r="D850">
        <v>2025</v>
      </c>
      <c r="E850" t="s">
        <v>60</v>
      </c>
      <c r="F850">
        <v>3892</v>
      </c>
      <c r="G850" t="s">
        <v>143</v>
      </c>
    </row>
    <row r="851" spans="1:7" x14ac:dyDescent="0.35">
      <c r="A851" t="s">
        <v>23</v>
      </c>
      <c r="B851" t="s">
        <v>83</v>
      </c>
      <c r="C851" t="s">
        <v>57</v>
      </c>
      <c r="D851">
        <v>2025</v>
      </c>
      <c r="E851" t="s">
        <v>61</v>
      </c>
      <c r="F851">
        <v>3652</v>
      </c>
      <c r="G851" t="s">
        <v>143</v>
      </c>
    </row>
    <row r="852" spans="1:7" x14ac:dyDescent="0.35">
      <c r="A852" t="s">
        <v>23</v>
      </c>
      <c r="B852" t="s">
        <v>83</v>
      </c>
      <c r="C852" t="s">
        <v>57</v>
      </c>
      <c r="D852">
        <v>2025</v>
      </c>
      <c r="E852" t="s">
        <v>63</v>
      </c>
      <c r="F852">
        <v>3810</v>
      </c>
      <c r="G852" t="s">
        <v>143</v>
      </c>
    </row>
    <row r="853" spans="1:7" x14ac:dyDescent="0.35">
      <c r="A853" t="s">
        <v>23</v>
      </c>
      <c r="B853" t="s">
        <v>83</v>
      </c>
      <c r="C853" t="s">
        <v>57</v>
      </c>
      <c r="D853">
        <v>2025</v>
      </c>
      <c r="E853" t="s">
        <v>144</v>
      </c>
      <c r="F853">
        <v>3772</v>
      </c>
      <c r="G853" t="s">
        <v>143</v>
      </c>
    </row>
    <row r="854" spans="1:7" x14ac:dyDescent="0.35">
      <c r="A854" t="s">
        <v>23</v>
      </c>
      <c r="B854" t="s">
        <v>83</v>
      </c>
      <c r="C854" t="s">
        <v>59</v>
      </c>
      <c r="D854">
        <v>2022</v>
      </c>
      <c r="E854" t="s">
        <v>60</v>
      </c>
      <c r="F854">
        <v>-884</v>
      </c>
      <c r="G854" t="s">
        <v>143</v>
      </c>
    </row>
    <row r="855" spans="1:7" x14ac:dyDescent="0.35">
      <c r="A855" t="s">
        <v>23</v>
      </c>
      <c r="B855" t="s">
        <v>83</v>
      </c>
      <c r="C855" t="s">
        <v>59</v>
      </c>
      <c r="D855">
        <v>2022</v>
      </c>
      <c r="E855" t="s">
        <v>61</v>
      </c>
      <c r="F855">
        <v>-45</v>
      </c>
      <c r="G855" t="s">
        <v>143</v>
      </c>
    </row>
    <row r="856" spans="1:7" x14ac:dyDescent="0.35">
      <c r="A856" t="s">
        <v>23</v>
      </c>
      <c r="B856" t="s">
        <v>83</v>
      </c>
      <c r="C856" t="s">
        <v>59</v>
      </c>
      <c r="D856">
        <v>2022</v>
      </c>
      <c r="E856" t="s">
        <v>63</v>
      </c>
      <c r="F856">
        <v>-607</v>
      </c>
      <c r="G856" t="s">
        <v>143</v>
      </c>
    </row>
    <row r="857" spans="1:7" x14ac:dyDescent="0.35">
      <c r="A857" t="s">
        <v>23</v>
      </c>
      <c r="B857" t="s">
        <v>83</v>
      </c>
      <c r="C857" t="s">
        <v>59</v>
      </c>
      <c r="D857">
        <v>2022</v>
      </c>
      <c r="E857" t="s">
        <v>144</v>
      </c>
      <c r="F857">
        <v>478</v>
      </c>
      <c r="G857" t="s">
        <v>143</v>
      </c>
    </row>
    <row r="858" spans="1:7" x14ac:dyDescent="0.35">
      <c r="A858" t="s">
        <v>23</v>
      </c>
      <c r="B858" t="s">
        <v>83</v>
      </c>
      <c r="C858" t="s">
        <v>59</v>
      </c>
      <c r="D858">
        <v>2023</v>
      </c>
      <c r="E858" t="s">
        <v>60</v>
      </c>
      <c r="F858">
        <v>-125</v>
      </c>
      <c r="G858" t="s">
        <v>143</v>
      </c>
    </row>
    <row r="859" spans="1:7" x14ac:dyDescent="0.35">
      <c r="A859" t="s">
        <v>23</v>
      </c>
      <c r="B859" t="s">
        <v>83</v>
      </c>
      <c r="C859" t="s">
        <v>59</v>
      </c>
      <c r="D859">
        <v>2023</v>
      </c>
      <c r="E859" t="s">
        <v>61</v>
      </c>
      <c r="F859">
        <v>-273</v>
      </c>
      <c r="G859" t="s">
        <v>143</v>
      </c>
    </row>
    <row r="860" spans="1:7" x14ac:dyDescent="0.35">
      <c r="A860" t="s">
        <v>23</v>
      </c>
      <c r="B860" t="s">
        <v>83</v>
      </c>
      <c r="C860" t="s">
        <v>59</v>
      </c>
      <c r="D860">
        <v>2023</v>
      </c>
      <c r="E860" t="s">
        <v>63</v>
      </c>
      <c r="F860">
        <v>-884</v>
      </c>
      <c r="G860" t="s">
        <v>143</v>
      </c>
    </row>
    <row r="861" spans="1:7" x14ac:dyDescent="0.35">
      <c r="A861" t="s">
        <v>23</v>
      </c>
      <c r="B861" t="s">
        <v>83</v>
      </c>
      <c r="C861" t="s">
        <v>59</v>
      </c>
      <c r="D861">
        <v>2023</v>
      </c>
      <c r="E861" t="s">
        <v>144</v>
      </c>
      <c r="F861">
        <v>-223</v>
      </c>
      <c r="G861" t="s">
        <v>143</v>
      </c>
    </row>
    <row r="862" spans="1:7" x14ac:dyDescent="0.35">
      <c r="A862" t="s">
        <v>23</v>
      </c>
      <c r="B862" t="s">
        <v>83</v>
      </c>
      <c r="C862" t="s">
        <v>59</v>
      </c>
      <c r="D862">
        <v>2024</v>
      </c>
      <c r="E862" t="s">
        <v>60</v>
      </c>
      <c r="F862">
        <v>-122</v>
      </c>
      <c r="G862" t="s">
        <v>143</v>
      </c>
    </row>
    <row r="863" spans="1:7" x14ac:dyDescent="0.35">
      <c r="A863" t="s">
        <v>23</v>
      </c>
      <c r="B863" t="s">
        <v>83</v>
      </c>
      <c r="C863" t="s">
        <v>59</v>
      </c>
      <c r="D863">
        <v>2024</v>
      </c>
      <c r="E863" t="s">
        <v>61</v>
      </c>
      <c r="F863">
        <v>-82</v>
      </c>
      <c r="G863" t="s">
        <v>143</v>
      </c>
    </row>
    <row r="864" spans="1:7" x14ac:dyDescent="0.35">
      <c r="A864" t="s">
        <v>23</v>
      </c>
      <c r="B864" t="s">
        <v>83</v>
      </c>
      <c r="C864" t="s">
        <v>59</v>
      </c>
      <c r="D864">
        <v>2024</v>
      </c>
      <c r="E864" t="s">
        <v>63</v>
      </c>
      <c r="F864">
        <v>-218</v>
      </c>
      <c r="G864" t="s">
        <v>143</v>
      </c>
    </row>
    <row r="865" spans="1:7" x14ac:dyDescent="0.35">
      <c r="A865" t="s">
        <v>23</v>
      </c>
      <c r="B865" t="s">
        <v>83</v>
      </c>
      <c r="C865" t="s">
        <v>59</v>
      </c>
      <c r="D865">
        <v>2024</v>
      </c>
      <c r="E865" t="s">
        <v>144</v>
      </c>
      <c r="F865">
        <v>-546</v>
      </c>
      <c r="G865" t="s">
        <v>143</v>
      </c>
    </row>
    <row r="866" spans="1:7" x14ac:dyDescent="0.35">
      <c r="A866" t="s">
        <v>23</v>
      </c>
      <c r="B866" t="s">
        <v>83</v>
      </c>
      <c r="C866" t="s">
        <v>59</v>
      </c>
      <c r="D866">
        <v>2025</v>
      </c>
      <c r="E866" t="s">
        <v>60</v>
      </c>
      <c r="F866">
        <v>-1217</v>
      </c>
      <c r="G866" t="s">
        <v>143</v>
      </c>
    </row>
    <row r="867" spans="1:7" x14ac:dyDescent="0.35">
      <c r="A867" t="s">
        <v>23</v>
      </c>
      <c r="B867" t="s">
        <v>83</v>
      </c>
      <c r="C867" t="s">
        <v>59</v>
      </c>
      <c r="D867">
        <v>2025</v>
      </c>
      <c r="E867" t="s">
        <v>61</v>
      </c>
      <c r="F867">
        <v>-178</v>
      </c>
      <c r="G867" t="s">
        <v>143</v>
      </c>
    </row>
    <row r="868" spans="1:7" x14ac:dyDescent="0.35">
      <c r="A868" t="s">
        <v>23</v>
      </c>
      <c r="B868" t="s">
        <v>83</v>
      </c>
      <c r="C868" t="s">
        <v>59</v>
      </c>
      <c r="D868">
        <v>2025</v>
      </c>
      <c r="E868" t="s">
        <v>63</v>
      </c>
      <c r="F868">
        <v>-141</v>
      </c>
      <c r="G868" t="s">
        <v>143</v>
      </c>
    </row>
    <row r="869" spans="1:7" x14ac:dyDescent="0.35">
      <c r="A869" t="s">
        <v>23</v>
      </c>
      <c r="B869" t="s">
        <v>83</v>
      </c>
      <c r="C869" t="s">
        <v>59</v>
      </c>
      <c r="D869">
        <v>2025</v>
      </c>
      <c r="E869" t="s">
        <v>144</v>
      </c>
      <c r="F869">
        <v>-408</v>
      </c>
      <c r="G869" t="s">
        <v>143</v>
      </c>
    </row>
    <row r="870" spans="1:7" x14ac:dyDescent="0.35">
      <c r="A870" t="s">
        <v>159</v>
      </c>
      <c r="B870" t="s">
        <v>160</v>
      </c>
      <c r="C870" t="s">
        <v>57</v>
      </c>
      <c r="D870">
        <v>2022</v>
      </c>
      <c r="E870" t="s">
        <v>60</v>
      </c>
      <c r="F870">
        <v>74</v>
      </c>
      <c r="G870" t="s">
        <v>143</v>
      </c>
    </row>
    <row r="871" spans="1:7" x14ac:dyDescent="0.35">
      <c r="A871" t="s">
        <v>159</v>
      </c>
      <c r="B871" t="s">
        <v>160</v>
      </c>
      <c r="C871" t="s">
        <v>57</v>
      </c>
      <c r="D871">
        <v>2022</v>
      </c>
      <c r="E871" t="s">
        <v>61</v>
      </c>
      <c r="F871">
        <v>78</v>
      </c>
      <c r="G871" t="s">
        <v>143</v>
      </c>
    </row>
    <row r="872" spans="1:7" x14ac:dyDescent="0.35">
      <c r="A872" t="s">
        <v>159</v>
      </c>
      <c r="B872" t="s">
        <v>160</v>
      </c>
      <c r="C872" t="s">
        <v>57</v>
      </c>
      <c r="D872">
        <v>2022</v>
      </c>
      <c r="E872" t="s">
        <v>63</v>
      </c>
      <c r="F872">
        <v>71</v>
      </c>
      <c r="G872" t="s">
        <v>143</v>
      </c>
    </row>
    <row r="873" spans="1:7" x14ac:dyDescent="0.35">
      <c r="A873" t="s">
        <v>159</v>
      </c>
      <c r="B873" t="s">
        <v>160</v>
      </c>
      <c r="C873" t="s">
        <v>57</v>
      </c>
      <c r="D873">
        <v>2022</v>
      </c>
      <c r="E873" t="s">
        <v>144</v>
      </c>
      <c r="F873">
        <v>68</v>
      </c>
      <c r="G873" t="s">
        <v>143</v>
      </c>
    </row>
    <row r="874" spans="1:7" x14ac:dyDescent="0.35">
      <c r="A874" t="s">
        <v>159</v>
      </c>
      <c r="B874" t="s">
        <v>160</v>
      </c>
      <c r="C874" t="s">
        <v>57</v>
      </c>
      <c r="D874">
        <v>2023</v>
      </c>
      <c r="E874" t="s">
        <v>60</v>
      </c>
      <c r="F874">
        <v>71</v>
      </c>
      <c r="G874" t="s">
        <v>143</v>
      </c>
    </row>
    <row r="875" spans="1:7" x14ac:dyDescent="0.35">
      <c r="A875" t="s">
        <v>159</v>
      </c>
      <c r="B875" t="s">
        <v>160</v>
      </c>
      <c r="C875" t="s">
        <v>57</v>
      </c>
      <c r="D875">
        <v>2023</v>
      </c>
      <c r="E875" t="s">
        <v>61</v>
      </c>
      <c r="F875">
        <v>73</v>
      </c>
      <c r="G875" t="s">
        <v>143</v>
      </c>
    </row>
    <row r="876" spans="1:7" x14ac:dyDescent="0.35">
      <c r="A876" t="s">
        <v>159</v>
      </c>
      <c r="B876" t="s">
        <v>160</v>
      </c>
      <c r="C876" t="s">
        <v>57</v>
      </c>
      <c r="D876">
        <v>2023</v>
      </c>
      <c r="E876" t="s">
        <v>63</v>
      </c>
      <c r="F876">
        <v>67</v>
      </c>
      <c r="G876" t="s">
        <v>143</v>
      </c>
    </row>
    <row r="877" spans="1:7" x14ac:dyDescent="0.35">
      <c r="A877" t="s">
        <v>159</v>
      </c>
      <c r="B877" t="s">
        <v>160</v>
      </c>
      <c r="C877" t="s">
        <v>57</v>
      </c>
      <c r="D877">
        <v>2023</v>
      </c>
      <c r="E877" t="s">
        <v>144</v>
      </c>
      <c r="F877">
        <v>79</v>
      </c>
      <c r="G877" t="s">
        <v>143</v>
      </c>
    </row>
    <row r="878" spans="1:7" x14ac:dyDescent="0.35">
      <c r="A878" t="s">
        <v>159</v>
      </c>
      <c r="B878" t="s">
        <v>160</v>
      </c>
      <c r="C878" t="s">
        <v>57</v>
      </c>
      <c r="D878">
        <v>2024</v>
      </c>
      <c r="E878" t="s">
        <v>60</v>
      </c>
      <c r="F878">
        <v>71</v>
      </c>
      <c r="G878" t="s">
        <v>143</v>
      </c>
    </row>
    <row r="879" spans="1:7" x14ac:dyDescent="0.35">
      <c r="A879" t="s">
        <v>159</v>
      </c>
      <c r="B879" t="s">
        <v>160</v>
      </c>
      <c r="C879" t="s">
        <v>57</v>
      </c>
      <c r="D879">
        <v>2024</v>
      </c>
      <c r="E879" t="s">
        <v>61</v>
      </c>
      <c r="F879">
        <v>78</v>
      </c>
      <c r="G879" t="s">
        <v>143</v>
      </c>
    </row>
    <row r="880" spans="1:7" x14ac:dyDescent="0.35">
      <c r="A880" t="s">
        <v>159</v>
      </c>
      <c r="B880" t="s">
        <v>160</v>
      </c>
      <c r="C880" t="s">
        <v>57</v>
      </c>
      <c r="D880">
        <v>2024</v>
      </c>
      <c r="E880" t="s">
        <v>63</v>
      </c>
      <c r="F880">
        <v>85</v>
      </c>
      <c r="G880" t="s">
        <v>143</v>
      </c>
    </row>
    <row r="881" spans="1:7" x14ac:dyDescent="0.35">
      <c r="A881" t="s">
        <v>159</v>
      </c>
      <c r="B881" t="s">
        <v>160</v>
      </c>
      <c r="C881" t="s">
        <v>57</v>
      </c>
      <c r="D881">
        <v>2024</v>
      </c>
      <c r="E881" t="s">
        <v>144</v>
      </c>
      <c r="F881">
        <v>78</v>
      </c>
      <c r="G881" t="s">
        <v>143</v>
      </c>
    </row>
    <row r="882" spans="1:7" x14ac:dyDescent="0.35">
      <c r="A882" t="s">
        <v>159</v>
      </c>
      <c r="B882" t="s">
        <v>160</v>
      </c>
      <c r="C882" t="s">
        <v>57</v>
      </c>
      <c r="D882">
        <v>2025</v>
      </c>
      <c r="E882" t="s">
        <v>60</v>
      </c>
      <c r="F882">
        <v>69</v>
      </c>
      <c r="G882" t="s">
        <v>143</v>
      </c>
    </row>
    <row r="883" spans="1:7" x14ac:dyDescent="0.35">
      <c r="A883" t="s">
        <v>159</v>
      </c>
      <c r="B883" t="s">
        <v>160</v>
      </c>
      <c r="C883" t="s">
        <v>57</v>
      </c>
      <c r="D883">
        <v>2025</v>
      </c>
      <c r="E883" t="s">
        <v>61</v>
      </c>
      <c r="F883">
        <v>85</v>
      </c>
      <c r="G883" t="s">
        <v>143</v>
      </c>
    </row>
    <row r="884" spans="1:7" x14ac:dyDescent="0.35">
      <c r="A884" t="s">
        <v>159</v>
      </c>
      <c r="B884" t="s">
        <v>160</v>
      </c>
      <c r="C884" t="s">
        <v>57</v>
      </c>
      <c r="D884">
        <v>2025</v>
      </c>
      <c r="E884" t="s">
        <v>63</v>
      </c>
      <c r="F884">
        <v>71</v>
      </c>
      <c r="G884" t="s">
        <v>143</v>
      </c>
    </row>
    <row r="885" spans="1:7" x14ac:dyDescent="0.35">
      <c r="A885" t="s">
        <v>159</v>
      </c>
      <c r="B885" t="s">
        <v>160</v>
      </c>
      <c r="C885" t="s">
        <v>57</v>
      </c>
      <c r="D885">
        <v>2025</v>
      </c>
      <c r="E885" t="s">
        <v>144</v>
      </c>
      <c r="F885">
        <v>104</v>
      </c>
      <c r="G885" t="s">
        <v>143</v>
      </c>
    </row>
    <row r="886" spans="1:7" x14ac:dyDescent="0.35">
      <c r="A886" t="s">
        <v>159</v>
      </c>
      <c r="B886" t="s">
        <v>160</v>
      </c>
      <c r="C886" t="s">
        <v>57</v>
      </c>
      <c r="D886">
        <v>2026</v>
      </c>
      <c r="E886" t="s">
        <v>60</v>
      </c>
      <c r="F886">
        <v>78.400000000000006</v>
      </c>
      <c r="G886" t="s">
        <v>143</v>
      </c>
    </row>
    <row r="887" spans="1:7" x14ac:dyDescent="0.35">
      <c r="A887" t="s">
        <v>159</v>
      </c>
      <c r="B887" t="s">
        <v>160</v>
      </c>
      <c r="C887" t="s">
        <v>58</v>
      </c>
      <c r="D887">
        <v>2022</v>
      </c>
      <c r="E887" t="s">
        <v>60</v>
      </c>
      <c r="F887">
        <v>3</v>
      </c>
      <c r="G887" t="s">
        <v>143</v>
      </c>
    </row>
    <row r="888" spans="1:7" x14ac:dyDescent="0.35">
      <c r="A888" t="s">
        <v>159</v>
      </c>
      <c r="B888" t="s">
        <v>160</v>
      </c>
      <c r="C888" t="s">
        <v>58</v>
      </c>
      <c r="D888">
        <v>2022</v>
      </c>
      <c r="E888" t="s">
        <v>61</v>
      </c>
      <c r="F888">
        <v>3</v>
      </c>
      <c r="G888" t="s">
        <v>143</v>
      </c>
    </row>
    <row r="889" spans="1:7" x14ac:dyDescent="0.35">
      <c r="A889" t="s">
        <v>159</v>
      </c>
      <c r="B889" t="s">
        <v>160</v>
      </c>
      <c r="C889" t="s">
        <v>58</v>
      </c>
      <c r="D889">
        <v>2022</v>
      </c>
      <c r="E889" t="s">
        <v>63</v>
      </c>
      <c r="F889">
        <v>6</v>
      </c>
      <c r="G889" t="s">
        <v>143</v>
      </c>
    </row>
    <row r="890" spans="1:7" x14ac:dyDescent="0.35">
      <c r="A890" t="s">
        <v>159</v>
      </c>
      <c r="B890" t="s">
        <v>160</v>
      </c>
      <c r="C890" t="s">
        <v>58</v>
      </c>
      <c r="D890">
        <v>2022</v>
      </c>
      <c r="E890" t="s">
        <v>144</v>
      </c>
      <c r="F890">
        <v>8</v>
      </c>
      <c r="G890" t="s">
        <v>143</v>
      </c>
    </row>
    <row r="891" spans="1:7" x14ac:dyDescent="0.35">
      <c r="A891" t="s">
        <v>159</v>
      </c>
      <c r="B891" t="s">
        <v>160</v>
      </c>
      <c r="C891" t="s">
        <v>58</v>
      </c>
      <c r="D891">
        <v>2023</v>
      </c>
      <c r="E891" t="s">
        <v>60</v>
      </c>
      <c r="F891">
        <v>6</v>
      </c>
      <c r="G891" t="s">
        <v>143</v>
      </c>
    </row>
    <row r="892" spans="1:7" x14ac:dyDescent="0.35">
      <c r="A892" t="s">
        <v>159</v>
      </c>
      <c r="B892" t="s">
        <v>160</v>
      </c>
      <c r="C892" t="s">
        <v>58</v>
      </c>
      <c r="D892">
        <v>2023</v>
      </c>
      <c r="E892" t="s">
        <v>61</v>
      </c>
      <c r="F892">
        <v>3</v>
      </c>
      <c r="G892" t="s">
        <v>143</v>
      </c>
    </row>
    <row r="893" spans="1:7" x14ac:dyDescent="0.35">
      <c r="A893" t="s">
        <v>159</v>
      </c>
      <c r="B893" t="s">
        <v>160</v>
      </c>
      <c r="C893" t="s">
        <v>58</v>
      </c>
      <c r="D893">
        <v>2023</v>
      </c>
      <c r="E893" t="s">
        <v>63</v>
      </c>
      <c r="F893">
        <v>8</v>
      </c>
      <c r="G893" t="s">
        <v>143</v>
      </c>
    </row>
    <row r="894" spans="1:7" x14ac:dyDescent="0.35">
      <c r="A894" t="s">
        <v>159</v>
      </c>
      <c r="B894" t="s">
        <v>160</v>
      </c>
      <c r="C894" t="s">
        <v>58</v>
      </c>
      <c r="D894">
        <v>2023</v>
      </c>
      <c r="E894" t="s">
        <v>144</v>
      </c>
      <c r="F894">
        <v>10</v>
      </c>
      <c r="G894" t="s">
        <v>143</v>
      </c>
    </row>
    <row r="895" spans="1:7" x14ac:dyDescent="0.35">
      <c r="A895" t="s">
        <v>159</v>
      </c>
      <c r="B895" t="s">
        <v>160</v>
      </c>
      <c r="C895" t="s">
        <v>58</v>
      </c>
      <c r="D895">
        <v>2024</v>
      </c>
      <c r="E895" t="s">
        <v>60</v>
      </c>
      <c r="F895">
        <v>4</v>
      </c>
      <c r="G895" t="s">
        <v>143</v>
      </c>
    </row>
    <row r="896" spans="1:7" x14ac:dyDescent="0.35">
      <c r="A896" t="s">
        <v>159</v>
      </c>
      <c r="B896" t="s">
        <v>160</v>
      </c>
      <c r="C896" t="s">
        <v>58</v>
      </c>
      <c r="D896">
        <v>2024</v>
      </c>
      <c r="E896" t="s">
        <v>61</v>
      </c>
      <c r="F896">
        <v>2</v>
      </c>
      <c r="G896" t="s">
        <v>143</v>
      </c>
    </row>
    <row r="897" spans="1:7" x14ac:dyDescent="0.35">
      <c r="A897" t="s">
        <v>159</v>
      </c>
      <c r="B897" t="s">
        <v>160</v>
      </c>
      <c r="C897" t="s">
        <v>58</v>
      </c>
      <c r="D897">
        <v>2024</v>
      </c>
      <c r="E897" t="s">
        <v>63</v>
      </c>
      <c r="F897">
        <v>3</v>
      </c>
      <c r="G897" t="s">
        <v>143</v>
      </c>
    </row>
    <row r="898" spans="1:7" x14ac:dyDescent="0.35">
      <c r="A898" t="s">
        <v>159</v>
      </c>
      <c r="B898" t="s">
        <v>160</v>
      </c>
      <c r="C898" t="s">
        <v>58</v>
      </c>
      <c r="D898">
        <v>2024</v>
      </c>
      <c r="E898" t="s">
        <v>144</v>
      </c>
      <c r="F898">
        <v>6</v>
      </c>
      <c r="G898" t="s">
        <v>143</v>
      </c>
    </row>
    <row r="899" spans="1:7" x14ac:dyDescent="0.35">
      <c r="A899" t="s">
        <v>159</v>
      </c>
      <c r="B899" t="s">
        <v>160</v>
      </c>
      <c r="C899" t="s">
        <v>58</v>
      </c>
      <c r="D899">
        <v>2025</v>
      </c>
      <c r="E899" t="s">
        <v>60</v>
      </c>
      <c r="F899">
        <v>2</v>
      </c>
      <c r="G899" t="s">
        <v>143</v>
      </c>
    </row>
    <row r="900" spans="1:7" x14ac:dyDescent="0.35">
      <c r="A900" t="s">
        <v>159</v>
      </c>
      <c r="B900" t="s">
        <v>160</v>
      </c>
      <c r="C900" t="s">
        <v>58</v>
      </c>
      <c r="D900">
        <v>2025</v>
      </c>
      <c r="E900" t="s">
        <v>61</v>
      </c>
      <c r="F900">
        <v>25</v>
      </c>
      <c r="G900" t="s">
        <v>143</v>
      </c>
    </row>
    <row r="901" spans="1:7" x14ac:dyDescent="0.35">
      <c r="A901" t="s">
        <v>159</v>
      </c>
      <c r="B901" t="s">
        <v>160</v>
      </c>
      <c r="C901" t="s">
        <v>58</v>
      </c>
      <c r="D901">
        <v>2025</v>
      </c>
      <c r="E901" t="s">
        <v>63</v>
      </c>
      <c r="F901">
        <v>6</v>
      </c>
      <c r="G901" t="s">
        <v>143</v>
      </c>
    </row>
    <row r="902" spans="1:7" x14ac:dyDescent="0.35">
      <c r="A902" t="s">
        <v>159</v>
      </c>
      <c r="B902" t="s">
        <v>160</v>
      </c>
      <c r="C902" t="s">
        <v>58</v>
      </c>
      <c r="D902">
        <v>2025</v>
      </c>
      <c r="E902" t="s">
        <v>144</v>
      </c>
      <c r="F902">
        <v>45</v>
      </c>
      <c r="G902" t="s">
        <v>143</v>
      </c>
    </row>
    <row r="903" spans="1:7" x14ac:dyDescent="0.35">
      <c r="A903" t="s">
        <v>159</v>
      </c>
      <c r="B903" t="s">
        <v>160</v>
      </c>
      <c r="C903" t="s">
        <v>58</v>
      </c>
      <c r="D903">
        <v>2026</v>
      </c>
      <c r="E903" t="s">
        <v>60</v>
      </c>
      <c r="F903">
        <v>16.399999999999999</v>
      </c>
      <c r="G903" t="s">
        <v>143</v>
      </c>
    </row>
    <row r="904" spans="1:7" x14ac:dyDescent="0.35">
      <c r="A904" t="s">
        <v>159</v>
      </c>
      <c r="B904" t="s">
        <v>160</v>
      </c>
      <c r="C904" t="s">
        <v>59</v>
      </c>
      <c r="D904">
        <v>2022</v>
      </c>
      <c r="E904" t="s">
        <v>60</v>
      </c>
      <c r="F904">
        <v>109</v>
      </c>
      <c r="G904" t="s">
        <v>143</v>
      </c>
    </row>
    <row r="905" spans="1:7" x14ac:dyDescent="0.35">
      <c r="A905" t="s">
        <v>159</v>
      </c>
      <c r="B905" t="s">
        <v>160</v>
      </c>
      <c r="C905" t="s">
        <v>59</v>
      </c>
      <c r="D905">
        <v>2022</v>
      </c>
      <c r="E905" t="s">
        <v>61</v>
      </c>
      <c r="F905">
        <v>99</v>
      </c>
      <c r="G905" t="s">
        <v>143</v>
      </c>
    </row>
    <row r="906" spans="1:7" x14ac:dyDescent="0.35">
      <c r="A906" t="s">
        <v>159</v>
      </c>
      <c r="B906" t="s">
        <v>160</v>
      </c>
      <c r="C906" t="s">
        <v>59</v>
      </c>
      <c r="D906">
        <v>2022</v>
      </c>
      <c r="E906" t="s">
        <v>63</v>
      </c>
      <c r="F906">
        <v>106</v>
      </c>
      <c r="G906" t="s">
        <v>143</v>
      </c>
    </row>
    <row r="907" spans="1:7" x14ac:dyDescent="0.35">
      <c r="A907" t="s">
        <v>159</v>
      </c>
      <c r="B907" t="s">
        <v>160</v>
      </c>
      <c r="C907" t="s">
        <v>59</v>
      </c>
      <c r="D907">
        <v>2022</v>
      </c>
      <c r="E907" t="s">
        <v>144</v>
      </c>
      <c r="F907">
        <v>79</v>
      </c>
      <c r="G907" t="s">
        <v>143</v>
      </c>
    </row>
    <row r="908" spans="1:7" x14ac:dyDescent="0.35">
      <c r="A908" t="s">
        <v>159</v>
      </c>
      <c r="B908" t="s">
        <v>160</v>
      </c>
      <c r="C908" t="s">
        <v>59</v>
      </c>
      <c r="D908">
        <v>2023</v>
      </c>
      <c r="E908" t="s">
        <v>60</v>
      </c>
      <c r="F908">
        <v>86</v>
      </c>
      <c r="G908" t="s">
        <v>143</v>
      </c>
    </row>
    <row r="909" spans="1:7" x14ac:dyDescent="0.35">
      <c r="A909" t="s">
        <v>159</v>
      </c>
      <c r="B909" t="s">
        <v>160</v>
      </c>
      <c r="C909" t="s">
        <v>59</v>
      </c>
      <c r="D909">
        <v>2023</v>
      </c>
      <c r="E909" t="s">
        <v>61</v>
      </c>
      <c r="F909">
        <v>96</v>
      </c>
      <c r="G909" t="s">
        <v>143</v>
      </c>
    </row>
    <row r="910" spans="1:7" x14ac:dyDescent="0.35">
      <c r="A910" t="s">
        <v>159</v>
      </c>
      <c r="B910" t="s">
        <v>160</v>
      </c>
      <c r="C910" t="s">
        <v>59</v>
      </c>
      <c r="D910">
        <v>2023</v>
      </c>
      <c r="E910" t="s">
        <v>63</v>
      </c>
      <c r="F910">
        <v>111</v>
      </c>
      <c r="G910" t="s">
        <v>143</v>
      </c>
    </row>
    <row r="911" spans="1:7" x14ac:dyDescent="0.35">
      <c r="A911" t="s">
        <v>159</v>
      </c>
      <c r="B911" t="s">
        <v>160</v>
      </c>
      <c r="C911" t="s">
        <v>59</v>
      </c>
      <c r="D911">
        <v>2023</v>
      </c>
      <c r="E911" t="s">
        <v>144</v>
      </c>
      <c r="F911">
        <v>86</v>
      </c>
      <c r="G911" t="s">
        <v>143</v>
      </c>
    </row>
    <row r="912" spans="1:7" x14ac:dyDescent="0.35">
      <c r="A912" t="s">
        <v>159</v>
      </c>
      <c r="B912" t="s">
        <v>160</v>
      </c>
      <c r="C912" t="s">
        <v>59</v>
      </c>
      <c r="D912">
        <v>2024</v>
      </c>
      <c r="E912" t="s">
        <v>60</v>
      </c>
      <c r="F912">
        <v>91</v>
      </c>
      <c r="G912" t="s">
        <v>143</v>
      </c>
    </row>
    <row r="913" spans="1:7" x14ac:dyDescent="0.35">
      <c r="A913" t="s">
        <v>159</v>
      </c>
      <c r="B913" t="s">
        <v>160</v>
      </c>
      <c r="C913" t="s">
        <v>59</v>
      </c>
      <c r="D913">
        <v>2024</v>
      </c>
      <c r="E913" t="s">
        <v>61</v>
      </c>
      <c r="F913">
        <v>102</v>
      </c>
      <c r="G913" t="s">
        <v>143</v>
      </c>
    </row>
    <row r="914" spans="1:7" x14ac:dyDescent="0.35">
      <c r="A914" t="s">
        <v>159</v>
      </c>
      <c r="B914" t="s">
        <v>160</v>
      </c>
      <c r="C914" t="s">
        <v>59</v>
      </c>
      <c r="D914">
        <v>2024</v>
      </c>
      <c r="E914" t="s">
        <v>63</v>
      </c>
      <c r="F914">
        <v>104</v>
      </c>
      <c r="G914" t="s">
        <v>143</v>
      </c>
    </row>
    <row r="915" spans="1:7" x14ac:dyDescent="0.35">
      <c r="A915" t="s">
        <v>159</v>
      </c>
      <c r="B915" t="s">
        <v>160</v>
      </c>
      <c r="C915" t="s">
        <v>59</v>
      </c>
      <c r="D915">
        <v>2024</v>
      </c>
      <c r="E915" t="s">
        <v>144</v>
      </c>
      <c r="F915">
        <v>105</v>
      </c>
      <c r="G915" t="s">
        <v>143</v>
      </c>
    </row>
    <row r="916" spans="1:7" x14ac:dyDescent="0.35">
      <c r="A916" t="s">
        <v>159</v>
      </c>
      <c r="B916" t="s">
        <v>160</v>
      </c>
      <c r="C916" t="s">
        <v>59</v>
      </c>
      <c r="D916">
        <v>2025</v>
      </c>
      <c r="E916" t="s">
        <v>60</v>
      </c>
      <c r="F916">
        <v>101</v>
      </c>
      <c r="G916" t="s">
        <v>143</v>
      </c>
    </row>
    <row r="917" spans="1:7" x14ac:dyDescent="0.35">
      <c r="A917" t="s">
        <v>159</v>
      </c>
      <c r="B917" t="s">
        <v>160</v>
      </c>
      <c r="C917" t="s">
        <v>59</v>
      </c>
      <c r="D917">
        <v>2025</v>
      </c>
      <c r="E917" t="s">
        <v>61</v>
      </c>
      <c r="F917">
        <v>115</v>
      </c>
      <c r="G917" t="s">
        <v>143</v>
      </c>
    </row>
    <row r="918" spans="1:7" x14ac:dyDescent="0.35">
      <c r="A918" t="s">
        <v>159</v>
      </c>
      <c r="B918" t="s">
        <v>160</v>
      </c>
      <c r="C918" t="s">
        <v>59</v>
      </c>
      <c r="D918">
        <v>2025</v>
      </c>
      <c r="E918" t="s">
        <v>63</v>
      </c>
      <c r="F918">
        <v>120</v>
      </c>
      <c r="G918" t="s">
        <v>143</v>
      </c>
    </row>
    <row r="919" spans="1:7" x14ac:dyDescent="0.35">
      <c r="A919" t="s">
        <v>159</v>
      </c>
      <c r="B919" t="s">
        <v>160</v>
      </c>
      <c r="C919" t="s">
        <v>59</v>
      </c>
      <c r="D919">
        <v>2025</v>
      </c>
      <c r="E919" t="s">
        <v>144</v>
      </c>
      <c r="F919">
        <v>149</v>
      </c>
      <c r="G919" t="s">
        <v>143</v>
      </c>
    </row>
    <row r="920" spans="1:7" x14ac:dyDescent="0.35">
      <c r="A920" t="s">
        <v>159</v>
      </c>
      <c r="B920" t="s">
        <v>160</v>
      </c>
      <c r="C920" t="s">
        <v>59</v>
      </c>
      <c r="D920">
        <v>2026</v>
      </c>
      <c r="E920" t="s">
        <v>60</v>
      </c>
      <c r="F920">
        <v>177.3</v>
      </c>
      <c r="G920" t="s">
        <v>143</v>
      </c>
    </row>
    <row r="921" spans="1:7" x14ac:dyDescent="0.35">
      <c r="A921" t="s">
        <v>24</v>
      </c>
      <c r="B921" t="s">
        <v>84</v>
      </c>
      <c r="C921" t="s">
        <v>57</v>
      </c>
      <c r="D921">
        <v>2022</v>
      </c>
      <c r="E921" t="s">
        <v>60</v>
      </c>
      <c r="F921">
        <v>598</v>
      </c>
      <c r="G921" t="s">
        <v>143</v>
      </c>
    </row>
    <row r="922" spans="1:7" x14ac:dyDescent="0.35">
      <c r="A922" t="s">
        <v>24</v>
      </c>
      <c r="B922" t="s">
        <v>84</v>
      </c>
      <c r="C922" t="s">
        <v>57</v>
      </c>
      <c r="D922">
        <v>2022</v>
      </c>
      <c r="E922" t="s">
        <v>61</v>
      </c>
      <c r="F922">
        <v>670</v>
      </c>
      <c r="G922" t="s">
        <v>143</v>
      </c>
    </row>
    <row r="923" spans="1:7" x14ac:dyDescent="0.35">
      <c r="A923" t="s">
        <v>24</v>
      </c>
      <c r="B923" t="s">
        <v>84</v>
      </c>
      <c r="C923" t="s">
        <v>57</v>
      </c>
      <c r="D923">
        <v>2022</v>
      </c>
      <c r="E923" t="s">
        <v>63</v>
      </c>
      <c r="F923">
        <v>625</v>
      </c>
      <c r="G923" t="s">
        <v>143</v>
      </c>
    </row>
    <row r="924" spans="1:7" x14ac:dyDescent="0.35">
      <c r="A924" t="s">
        <v>24</v>
      </c>
      <c r="B924" t="s">
        <v>84</v>
      </c>
      <c r="C924" t="s">
        <v>57</v>
      </c>
      <c r="D924">
        <v>2022</v>
      </c>
      <c r="E924" t="s">
        <v>144</v>
      </c>
      <c r="F924">
        <v>899</v>
      </c>
      <c r="G924" t="s">
        <v>143</v>
      </c>
    </row>
    <row r="925" spans="1:7" x14ac:dyDescent="0.35">
      <c r="A925" t="s">
        <v>24</v>
      </c>
      <c r="B925" t="s">
        <v>84</v>
      </c>
      <c r="C925" t="s">
        <v>57</v>
      </c>
      <c r="D925">
        <v>2023</v>
      </c>
      <c r="E925" t="s">
        <v>60</v>
      </c>
      <c r="F925">
        <v>600</v>
      </c>
      <c r="G925" t="s">
        <v>143</v>
      </c>
    </row>
    <row r="926" spans="1:7" x14ac:dyDescent="0.35">
      <c r="A926" t="s">
        <v>24</v>
      </c>
      <c r="B926" t="s">
        <v>84</v>
      </c>
      <c r="C926" t="s">
        <v>57</v>
      </c>
      <c r="D926">
        <v>2023</v>
      </c>
      <c r="E926" t="s">
        <v>61</v>
      </c>
      <c r="F926">
        <v>723</v>
      </c>
      <c r="G926" t="s">
        <v>143</v>
      </c>
    </row>
    <row r="927" spans="1:7" x14ac:dyDescent="0.35">
      <c r="A927" t="s">
        <v>24</v>
      </c>
      <c r="B927" t="s">
        <v>84</v>
      </c>
      <c r="C927" t="s">
        <v>57</v>
      </c>
      <c r="D927">
        <v>2023</v>
      </c>
      <c r="E927" t="s">
        <v>63</v>
      </c>
      <c r="F927">
        <v>737</v>
      </c>
      <c r="G927" t="s">
        <v>143</v>
      </c>
    </row>
    <row r="928" spans="1:7" x14ac:dyDescent="0.35">
      <c r="A928" t="s">
        <v>24</v>
      </c>
      <c r="B928" t="s">
        <v>84</v>
      </c>
      <c r="C928" t="s">
        <v>57</v>
      </c>
      <c r="D928">
        <v>2023</v>
      </c>
      <c r="E928" t="s">
        <v>144</v>
      </c>
      <c r="F928">
        <v>1063</v>
      </c>
      <c r="G928" t="s">
        <v>143</v>
      </c>
    </row>
    <row r="929" spans="1:7" x14ac:dyDescent="0.35">
      <c r="A929" t="s">
        <v>24</v>
      </c>
      <c r="B929" t="s">
        <v>84</v>
      </c>
      <c r="C929" t="s">
        <v>57</v>
      </c>
      <c r="D929">
        <v>2024</v>
      </c>
      <c r="E929" t="s">
        <v>60</v>
      </c>
      <c r="F929">
        <v>689</v>
      </c>
      <c r="G929" t="s">
        <v>143</v>
      </c>
    </row>
    <row r="930" spans="1:7" x14ac:dyDescent="0.35">
      <c r="A930" t="s">
        <v>24</v>
      </c>
      <c r="B930" t="s">
        <v>84</v>
      </c>
      <c r="C930" t="s">
        <v>57</v>
      </c>
      <c r="D930">
        <v>2024</v>
      </c>
      <c r="E930" t="s">
        <v>61</v>
      </c>
      <c r="F930">
        <v>686</v>
      </c>
      <c r="G930" t="s">
        <v>143</v>
      </c>
    </row>
    <row r="931" spans="1:7" x14ac:dyDescent="0.35">
      <c r="A931" t="s">
        <v>24</v>
      </c>
      <c r="B931" t="s">
        <v>84</v>
      </c>
      <c r="C931" t="s">
        <v>57</v>
      </c>
      <c r="D931">
        <v>2024</v>
      </c>
      <c r="E931" t="s">
        <v>63</v>
      </c>
      <c r="F931">
        <v>765</v>
      </c>
      <c r="G931" t="s">
        <v>143</v>
      </c>
    </row>
    <row r="932" spans="1:7" x14ac:dyDescent="0.35">
      <c r="A932" t="s">
        <v>24</v>
      </c>
      <c r="B932" t="s">
        <v>84</v>
      </c>
      <c r="C932" t="s">
        <v>57</v>
      </c>
      <c r="D932">
        <v>2024</v>
      </c>
      <c r="E932" t="s">
        <v>144</v>
      </c>
      <c r="F932">
        <v>977</v>
      </c>
      <c r="G932" t="s">
        <v>143</v>
      </c>
    </row>
    <row r="933" spans="1:7" x14ac:dyDescent="0.35">
      <c r="A933" t="s">
        <v>24</v>
      </c>
      <c r="B933" t="s">
        <v>84</v>
      </c>
      <c r="C933" t="s">
        <v>57</v>
      </c>
      <c r="D933">
        <v>2025</v>
      </c>
      <c r="E933" t="s">
        <v>60</v>
      </c>
      <c r="F933">
        <v>579</v>
      </c>
      <c r="G933" t="s">
        <v>143</v>
      </c>
    </row>
    <row r="934" spans="1:7" x14ac:dyDescent="0.35">
      <c r="A934" t="s">
        <v>24</v>
      </c>
      <c r="B934" t="s">
        <v>84</v>
      </c>
      <c r="C934" t="s">
        <v>57</v>
      </c>
      <c r="D934">
        <v>2025</v>
      </c>
      <c r="E934" t="s">
        <v>61</v>
      </c>
      <c r="F934">
        <v>755</v>
      </c>
      <c r="G934" t="s">
        <v>143</v>
      </c>
    </row>
    <row r="935" spans="1:7" x14ac:dyDescent="0.35">
      <c r="A935" t="s">
        <v>24</v>
      </c>
      <c r="B935" t="s">
        <v>84</v>
      </c>
      <c r="C935" t="s">
        <v>57</v>
      </c>
      <c r="D935">
        <v>2025</v>
      </c>
      <c r="E935" t="s">
        <v>63</v>
      </c>
      <c r="F935">
        <v>709</v>
      </c>
      <c r="G935" t="s">
        <v>143</v>
      </c>
    </row>
    <row r="936" spans="1:7" x14ac:dyDescent="0.35">
      <c r="A936" t="s">
        <v>24</v>
      </c>
      <c r="B936" t="s">
        <v>84</v>
      </c>
      <c r="C936" t="s">
        <v>57</v>
      </c>
      <c r="D936">
        <v>2025</v>
      </c>
      <c r="E936" t="s">
        <v>144</v>
      </c>
      <c r="F936">
        <v>1012</v>
      </c>
      <c r="G936" t="s">
        <v>143</v>
      </c>
    </row>
    <row r="937" spans="1:7" x14ac:dyDescent="0.35">
      <c r="A937" t="s">
        <v>24</v>
      </c>
      <c r="B937" t="s">
        <v>84</v>
      </c>
      <c r="C937" t="s">
        <v>57</v>
      </c>
      <c r="D937">
        <v>2026</v>
      </c>
      <c r="E937" t="s">
        <v>60</v>
      </c>
      <c r="F937">
        <v>599</v>
      </c>
      <c r="G937" t="s">
        <v>143</v>
      </c>
    </row>
    <row r="938" spans="1:7" x14ac:dyDescent="0.35">
      <c r="A938" t="s">
        <v>24</v>
      </c>
      <c r="B938" t="s">
        <v>84</v>
      </c>
      <c r="C938" t="s">
        <v>58</v>
      </c>
      <c r="D938">
        <v>2022</v>
      </c>
      <c r="E938" t="s">
        <v>60</v>
      </c>
      <c r="F938">
        <v>15</v>
      </c>
      <c r="G938" t="s">
        <v>143</v>
      </c>
    </row>
    <row r="939" spans="1:7" x14ac:dyDescent="0.35">
      <c r="A939" t="s">
        <v>24</v>
      </c>
      <c r="B939" t="s">
        <v>84</v>
      </c>
      <c r="C939" t="s">
        <v>58</v>
      </c>
      <c r="D939">
        <v>2022</v>
      </c>
      <c r="E939" t="s">
        <v>61</v>
      </c>
      <c r="F939">
        <v>20</v>
      </c>
      <c r="G939" t="s">
        <v>143</v>
      </c>
    </row>
    <row r="940" spans="1:7" x14ac:dyDescent="0.35">
      <c r="A940" t="s">
        <v>24</v>
      </c>
      <c r="B940" t="s">
        <v>84</v>
      </c>
      <c r="C940" t="s">
        <v>58</v>
      </c>
      <c r="D940">
        <v>2022</v>
      </c>
      <c r="E940" t="s">
        <v>63</v>
      </c>
      <c r="F940">
        <v>11</v>
      </c>
      <c r="G940" t="s">
        <v>143</v>
      </c>
    </row>
    <row r="941" spans="1:7" x14ac:dyDescent="0.35">
      <c r="A941" t="s">
        <v>24</v>
      </c>
      <c r="B941" t="s">
        <v>84</v>
      </c>
      <c r="C941" t="s">
        <v>58</v>
      </c>
      <c r="D941">
        <v>2022</v>
      </c>
      <c r="E941" t="s">
        <v>144</v>
      </c>
      <c r="F941">
        <v>13</v>
      </c>
      <c r="G941" t="s">
        <v>143</v>
      </c>
    </row>
    <row r="942" spans="1:7" x14ac:dyDescent="0.35">
      <c r="A942" t="s">
        <v>24</v>
      </c>
      <c r="B942" t="s">
        <v>84</v>
      </c>
      <c r="C942" t="s">
        <v>58</v>
      </c>
      <c r="D942">
        <v>2023</v>
      </c>
      <c r="E942" t="s">
        <v>60</v>
      </c>
      <c r="F942">
        <v>26</v>
      </c>
      <c r="G942" t="s">
        <v>143</v>
      </c>
    </row>
    <row r="943" spans="1:7" x14ac:dyDescent="0.35">
      <c r="A943" t="s">
        <v>24</v>
      </c>
      <c r="B943" t="s">
        <v>84</v>
      </c>
      <c r="C943" t="s">
        <v>58</v>
      </c>
      <c r="D943">
        <v>2023</v>
      </c>
      <c r="E943" t="s">
        <v>61</v>
      </c>
      <c r="F943">
        <v>13</v>
      </c>
      <c r="G943" t="s">
        <v>143</v>
      </c>
    </row>
    <row r="944" spans="1:7" x14ac:dyDescent="0.35">
      <c r="A944" t="s">
        <v>24</v>
      </c>
      <c r="B944" t="s">
        <v>84</v>
      </c>
      <c r="C944" t="s">
        <v>58</v>
      </c>
      <c r="D944">
        <v>2023</v>
      </c>
      <c r="E944" t="s">
        <v>63</v>
      </c>
      <c r="F944">
        <v>13</v>
      </c>
      <c r="G944" t="s">
        <v>143</v>
      </c>
    </row>
    <row r="945" spans="1:7" x14ac:dyDescent="0.35">
      <c r="A945" t="s">
        <v>24</v>
      </c>
      <c r="B945" t="s">
        <v>84</v>
      </c>
      <c r="C945" t="s">
        <v>58</v>
      </c>
      <c r="D945">
        <v>2023</v>
      </c>
      <c r="E945" t="s">
        <v>144</v>
      </c>
      <c r="F945">
        <v>37</v>
      </c>
      <c r="G945" t="s">
        <v>143</v>
      </c>
    </row>
    <row r="946" spans="1:7" x14ac:dyDescent="0.35">
      <c r="A946" t="s">
        <v>24</v>
      </c>
      <c r="B946" t="s">
        <v>84</v>
      </c>
      <c r="C946" t="s">
        <v>58</v>
      </c>
      <c r="D946">
        <v>2024</v>
      </c>
      <c r="E946" t="s">
        <v>60</v>
      </c>
      <c r="F946">
        <v>15</v>
      </c>
      <c r="G946" t="s">
        <v>143</v>
      </c>
    </row>
    <row r="947" spans="1:7" x14ac:dyDescent="0.35">
      <c r="A947" t="s">
        <v>24</v>
      </c>
      <c r="B947" t="s">
        <v>84</v>
      </c>
      <c r="C947" t="s">
        <v>58</v>
      </c>
      <c r="D947">
        <v>2024</v>
      </c>
      <c r="E947" t="s">
        <v>61</v>
      </c>
      <c r="F947">
        <v>32</v>
      </c>
      <c r="G947" t="s">
        <v>143</v>
      </c>
    </row>
    <row r="948" spans="1:7" x14ac:dyDescent="0.35">
      <c r="A948" t="s">
        <v>24</v>
      </c>
      <c r="B948" t="s">
        <v>84</v>
      </c>
      <c r="C948" t="s">
        <v>58</v>
      </c>
      <c r="D948">
        <v>2024</v>
      </c>
      <c r="E948" t="s">
        <v>63</v>
      </c>
      <c r="F948">
        <v>22</v>
      </c>
      <c r="G948" t="s">
        <v>143</v>
      </c>
    </row>
    <row r="949" spans="1:7" x14ac:dyDescent="0.35">
      <c r="A949" t="s">
        <v>24</v>
      </c>
      <c r="B949" t="s">
        <v>84</v>
      </c>
      <c r="C949" t="s">
        <v>58</v>
      </c>
      <c r="D949">
        <v>2024</v>
      </c>
      <c r="E949" t="s">
        <v>144</v>
      </c>
      <c r="F949">
        <v>21</v>
      </c>
      <c r="G949" t="s">
        <v>143</v>
      </c>
    </row>
    <row r="950" spans="1:7" x14ac:dyDescent="0.35">
      <c r="A950" t="s">
        <v>24</v>
      </c>
      <c r="B950" t="s">
        <v>84</v>
      </c>
      <c r="C950" t="s">
        <v>58</v>
      </c>
      <c r="D950">
        <v>2025</v>
      </c>
      <c r="E950" t="s">
        <v>60</v>
      </c>
      <c r="F950">
        <v>16</v>
      </c>
      <c r="G950" t="s">
        <v>143</v>
      </c>
    </row>
    <row r="951" spans="1:7" x14ac:dyDescent="0.35">
      <c r="A951" t="s">
        <v>24</v>
      </c>
      <c r="B951" t="s">
        <v>84</v>
      </c>
      <c r="C951" t="s">
        <v>58</v>
      </c>
      <c r="D951">
        <v>2025</v>
      </c>
      <c r="E951" t="s">
        <v>61</v>
      </c>
      <c r="F951">
        <v>65</v>
      </c>
      <c r="G951" t="s">
        <v>143</v>
      </c>
    </row>
    <row r="952" spans="1:7" x14ac:dyDescent="0.35">
      <c r="A952" t="s">
        <v>24</v>
      </c>
      <c r="B952" t="s">
        <v>84</v>
      </c>
      <c r="C952" t="s">
        <v>58</v>
      </c>
      <c r="D952">
        <v>2025</v>
      </c>
      <c r="E952" t="s">
        <v>63</v>
      </c>
      <c r="F952">
        <v>22</v>
      </c>
      <c r="G952" t="s">
        <v>143</v>
      </c>
    </row>
    <row r="953" spans="1:7" x14ac:dyDescent="0.35">
      <c r="A953" t="s">
        <v>24</v>
      </c>
      <c r="B953" t="s">
        <v>84</v>
      </c>
      <c r="C953" t="s">
        <v>58</v>
      </c>
      <c r="D953">
        <v>2025</v>
      </c>
      <c r="E953" t="s">
        <v>144</v>
      </c>
      <c r="F953">
        <v>22</v>
      </c>
      <c r="G953" t="s">
        <v>143</v>
      </c>
    </row>
    <row r="954" spans="1:7" x14ac:dyDescent="0.35">
      <c r="A954" t="s">
        <v>24</v>
      </c>
      <c r="B954" t="s">
        <v>84</v>
      </c>
      <c r="C954" t="s">
        <v>58</v>
      </c>
      <c r="D954">
        <v>2026</v>
      </c>
      <c r="E954" t="s">
        <v>60</v>
      </c>
      <c r="F954">
        <v>16</v>
      </c>
      <c r="G954" t="s">
        <v>143</v>
      </c>
    </row>
    <row r="955" spans="1:7" x14ac:dyDescent="0.35">
      <c r="A955" t="s">
        <v>24</v>
      </c>
      <c r="B955" t="s">
        <v>84</v>
      </c>
      <c r="C955" t="s">
        <v>59</v>
      </c>
      <c r="D955">
        <v>2022</v>
      </c>
      <c r="E955" t="s">
        <v>60</v>
      </c>
      <c r="F955">
        <v>170</v>
      </c>
      <c r="G955" t="s">
        <v>143</v>
      </c>
    </row>
    <row r="956" spans="1:7" x14ac:dyDescent="0.35">
      <c r="A956" t="s">
        <v>24</v>
      </c>
      <c r="B956" t="s">
        <v>84</v>
      </c>
      <c r="C956" t="s">
        <v>59</v>
      </c>
      <c r="D956">
        <v>2022</v>
      </c>
      <c r="E956" t="s">
        <v>61</v>
      </c>
      <c r="F956">
        <v>277</v>
      </c>
      <c r="G956" t="s">
        <v>143</v>
      </c>
    </row>
    <row r="957" spans="1:7" x14ac:dyDescent="0.35">
      <c r="A957" t="s">
        <v>24</v>
      </c>
      <c r="B957" t="s">
        <v>84</v>
      </c>
      <c r="C957" t="s">
        <v>59</v>
      </c>
      <c r="D957">
        <v>2022</v>
      </c>
      <c r="E957" t="s">
        <v>63</v>
      </c>
      <c r="F957">
        <v>361</v>
      </c>
      <c r="G957" t="s">
        <v>143</v>
      </c>
    </row>
    <row r="958" spans="1:7" x14ac:dyDescent="0.35">
      <c r="A958" t="s">
        <v>24</v>
      </c>
      <c r="B958" t="s">
        <v>84</v>
      </c>
      <c r="C958" t="s">
        <v>59</v>
      </c>
      <c r="D958">
        <v>2022</v>
      </c>
      <c r="E958" t="s">
        <v>144</v>
      </c>
      <c r="F958">
        <v>386</v>
      </c>
      <c r="G958" t="s">
        <v>143</v>
      </c>
    </row>
    <row r="959" spans="1:7" x14ac:dyDescent="0.35">
      <c r="A959" t="s">
        <v>24</v>
      </c>
      <c r="B959" t="s">
        <v>84</v>
      </c>
      <c r="C959" t="s">
        <v>59</v>
      </c>
      <c r="D959">
        <v>2023</v>
      </c>
      <c r="E959" t="s">
        <v>60</v>
      </c>
      <c r="F959">
        <v>311</v>
      </c>
      <c r="G959" t="s">
        <v>143</v>
      </c>
    </row>
    <row r="960" spans="1:7" x14ac:dyDescent="0.35">
      <c r="A960" t="s">
        <v>24</v>
      </c>
      <c r="B960" t="s">
        <v>84</v>
      </c>
      <c r="C960" t="s">
        <v>59</v>
      </c>
      <c r="D960">
        <v>2023</v>
      </c>
      <c r="E960" t="s">
        <v>61</v>
      </c>
      <c r="F960">
        <v>318</v>
      </c>
      <c r="G960" t="s">
        <v>143</v>
      </c>
    </row>
    <row r="961" spans="1:7" x14ac:dyDescent="0.35">
      <c r="A961" t="s">
        <v>24</v>
      </c>
      <c r="B961" t="s">
        <v>84</v>
      </c>
      <c r="C961" t="s">
        <v>59</v>
      </c>
      <c r="D961">
        <v>2023</v>
      </c>
      <c r="E961" t="s">
        <v>63</v>
      </c>
      <c r="F961">
        <v>286</v>
      </c>
      <c r="G961" t="s">
        <v>143</v>
      </c>
    </row>
    <row r="962" spans="1:7" x14ac:dyDescent="0.35">
      <c r="A962" t="s">
        <v>24</v>
      </c>
      <c r="B962" t="s">
        <v>84</v>
      </c>
      <c r="C962" t="s">
        <v>59</v>
      </c>
      <c r="D962">
        <v>2023</v>
      </c>
      <c r="E962" t="s">
        <v>144</v>
      </c>
      <c r="F962">
        <v>103</v>
      </c>
      <c r="G962" t="s">
        <v>143</v>
      </c>
    </row>
    <row r="963" spans="1:7" x14ac:dyDescent="0.35">
      <c r="A963" t="s">
        <v>24</v>
      </c>
      <c r="B963" t="s">
        <v>84</v>
      </c>
      <c r="C963" t="s">
        <v>59</v>
      </c>
      <c r="D963">
        <v>2024</v>
      </c>
      <c r="E963" t="s">
        <v>60</v>
      </c>
      <c r="F963">
        <v>-155</v>
      </c>
      <c r="G963" t="s">
        <v>143</v>
      </c>
    </row>
    <row r="964" spans="1:7" x14ac:dyDescent="0.35">
      <c r="A964" t="s">
        <v>24</v>
      </c>
      <c r="B964" t="s">
        <v>84</v>
      </c>
      <c r="C964" t="s">
        <v>59</v>
      </c>
      <c r="D964">
        <v>2024</v>
      </c>
      <c r="E964" t="s">
        <v>61</v>
      </c>
      <c r="F964">
        <v>-108</v>
      </c>
      <c r="G964" t="s">
        <v>143</v>
      </c>
    </row>
    <row r="965" spans="1:7" x14ac:dyDescent="0.35">
      <c r="A965" t="s">
        <v>24</v>
      </c>
      <c r="B965" t="s">
        <v>84</v>
      </c>
      <c r="C965" t="s">
        <v>59</v>
      </c>
      <c r="D965">
        <v>2024</v>
      </c>
      <c r="E965" t="s">
        <v>63</v>
      </c>
      <c r="F965">
        <v>-108</v>
      </c>
      <c r="G965" t="s">
        <v>143</v>
      </c>
    </row>
    <row r="966" spans="1:7" x14ac:dyDescent="0.35">
      <c r="A966" t="s">
        <v>24</v>
      </c>
      <c r="B966" t="s">
        <v>84</v>
      </c>
      <c r="C966" t="s">
        <v>59</v>
      </c>
      <c r="D966">
        <v>2024</v>
      </c>
      <c r="E966" t="s">
        <v>144</v>
      </c>
      <c r="F966">
        <v>-234</v>
      </c>
      <c r="G966" t="s">
        <v>143</v>
      </c>
    </row>
    <row r="967" spans="1:7" x14ac:dyDescent="0.35">
      <c r="A967" t="s">
        <v>24</v>
      </c>
      <c r="B967" t="s">
        <v>84</v>
      </c>
      <c r="C967" t="s">
        <v>59</v>
      </c>
      <c r="D967">
        <v>2025</v>
      </c>
      <c r="E967" t="s">
        <v>60</v>
      </c>
      <c r="F967">
        <v>-366</v>
      </c>
      <c r="G967" t="s">
        <v>143</v>
      </c>
    </row>
    <row r="968" spans="1:7" x14ac:dyDescent="0.35">
      <c r="A968" t="s">
        <v>24</v>
      </c>
      <c r="B968" t="s">
        <v>84</v>
      </c>
      <c r="C968" t="s">
        <v>59</v>
      </c>
      <c r="D968">
        <v>2025</v>
      </c>
      <c r="E968" t="s">
        <v>61</v>
      </c>
      <c r="F968">
        <v>-169</v>
      </c>
      <c r="G968" t="s">
        <v>143</v>
      </c>
    </row>
    <row r="969" spans="1:7" x14ac:dyDescent="0.35">
      <c r="A969" t="s">
        <v>24</v>
      </c>
      <c r="B969" t="s">
        <v>84</v>
      </c>
      <c r="C969" t="s">
        <v>59</v>
      </c>
      <c r="D969">
        <v>2025</v>
      </c>
      <c r="E969" t="s">
        <v>63</v>
      </c>
      <c r="F969">
        <v>-132</v>
      </c>
      <c r="G969" t="s">
        <v>143</v>
      </c>
    </row>
    <row r="970" spans="1:7" x14ac:dyDescent="0.35">
      <c r="A970" t="s">
        <v>24</v>
      </c>
      <c r="B970" t="s">
        <v>84</v>
      </c>
      <c r="C970" t="s">
        <v>59</v>
      </c>
      <c r="D970">
        <v>2025</v>
      </c>
      <c r="E970" t="s">
        <v>144</v>
      </c>
      <c r="F970">
        <v>-446</v>
      </c>
      <c r="G970" t="s">
        <v>143</v>
      </c>
    </row>
    <row r="971" spans="1:7" x14ac:dyDescent="0.35">
      <c r="A971" t="s">
        <v>24</v>
      </c>
      <c r="B971" t="s">
        <v>84</v>
      </c>
      <c r="C971" t="s">
        <v>59</v>
      </c>
      <c r="D971">
        <v>2026</v>
      </c>
      <c r="E971" t="s">
        <v>60</v>
      </c>
      <c r="F971">
        <v>-371</v>
      </c>
      <c r="G971" t="s">
        <v>143</v>
      </c>
    </row>
    <row r="972" spans="1:7" x14ac:dyDescent="0.35">
      <c r="A972" t="s">
        <v>25</v>
      </c>
      <c r="B972" t="s">
        <v>85</v>
      </c>
      <c r="C972" t="s">
        <v>57</v>
      </c>
      <c r="D972">
        <v>2022</v>
      </c>
      <c r="E972" t="s">
        <v>60</v>
      </c>
      <c r="F972">
        <v>150</v>
      </c>
      <c r="G972" t="s">
        <v>143</v>
      </c>
    </row>
    <row r="973" spans="1:7" x14ac:dyDescent="0.35">
      <c r="A973" t="s">
        <v>25</v>
      </c>
      <c r="B973" t="s">
        <v>85</v>
      </c>
      <c r="C973" t="s">
        <v>57</v>
      </c>
      <c r="D973">
        <v>2022</v>
      </c>
      <c r="E973" t="s">
        <v>61</v>
      </c>
      <c r="F973">
        <v>276</v>
      </c>
      <c r="G973" t="s">
        <v>143</v>
      </c>
    </row>
    <row r="974" spans="1:7" x14ac:dyDescent="0.35">
      <c r="A974" t="s">
        <v>25</v>
      </c>
      <c r="B974" t="s">
        <v>85</v>
      </c>
      <c r="C974" t="s">
        <v>57</v>
      </c>
      <c r="D974">
        <v>2022</v>
      </c>
      <c r="E974" t="s">
        <v>63</v>
      </c>
      <c r="F974">
        <v>296</v>
      </c>
      <c r="G974" t="s">
        <v>143</v>
      </c>
    </row>
    <row r="975" spans="1:7" x14ac:dyDescent="0.35">
      <c r="A975" t="s">
        <v>25</v>
      </c>
      <c r="B975" t="s">
        <v>85</v>
      </c>
      <c r="C975" t="s">
        <v>57</v>
      </c>
      <c r="D975">
        <v>2022</v>
      </c>
      <c r="E975" t="s">
        <v>144</v>
      </c>
      <c r="F975">
        <v>314</v>
      </c>
      <c r="G975" t="s">
        <v>143</v>
      </c>
    </row>
    <row r="976" spans="1:7" x14ac:dyDescent="0.35">
      <c r="A976" t="s">
        <v>25</v>
      </c>
      <c r="B976" t="s">
        <v>85</v>
      </c>
      <c r="C976" t="s">
        <v>57</v>
      </c>
      <c r="D976">
        <v>2023</v>
      </c>
      <c r="E976" t="s">
        <v>60</v>
      </c>
      <c r="F976">
        <v>273</v>
      </c>
      <c r="G976" t="s">
        <v>143</v>
      </c>
    </row>
    <row r="977" spans="1:7" x14ac:dyDescent="0.35">
      <c r="A977" t="s">
        <v>25</v>
      </c>
      <c r="B977" t="s">
        <v>85</v>
      </c>
      <c r="C977" t="s">
        <v>57</v>
      </c>
      <c r="D977">
        <v>2023</v>
      </c>
      <c r="E977" t="s">
        <v>61</v>
      </c>
      <c r="F977">
        <v>320</v>
      </c>
      <c r="G977" t="s">
        <v>143</v>
      </c>
    </row>
    <row r="978" spans="1:7" x14ac:dyDescent="0.35">
      <c r="A978" t="s">
        <v>25</v>
      </c>
      <c r="B978" t="s">
        <v>85</v>
      </c>
      <c r="C978" t="s">
        <v>57</v>
      </c>
      <c r="D978">
        <v>2023</v>
      </c>
      <c r="E978" t="s">
        <v>63</v>
      </c>
      <c r="F978">
        <v>286</v>
      </c>
      <c r="G978" t="s">
        <v>143</v>
      </c>
    </row>
    <row r="979" spans="1:7" x14ac:dyDescent="0.35">
      <c r="A979" t="s">
        <v>25</v>
      </c>
      <c r="B979" t="s">
        <v>85</v>
      </c>
      <c r="C979" t="s">
        <v>57</v>
      </c>
      <c r="D979">
        <v>2023</v>
      </c>
      <c r="E979" t="s">
        <v>144</v>
      </c>
      <c r="F979">
        <v>295</v>
      </c>
      <c r="G979" t="s">
        <v>143</v>
      </c>
    </row>
    <row r="980" spans="1:7" x14ac:dyDescent="0.35">
      <c r="A980" t="s">
        <v>25</v>
      </c>
      <c r="B980" t="s">
        <v>85</v>
      </c>
      <c r="C980" t="s">
        <v>57</v>
      </c>
      <c r="D980">
        <v>2024</v>
      </c>
      <c r="E980" t="s">
        <v>60</v>
      </c>
      <c r="F980">
        <v>253</v>
      </c>
      <c r="G980" t="s">
        <v>143</v>
      </c>
    </row>
    <row r="981" spans="1:7" x14ac:dyDescent="0.35">
      <c r="A981" t="s">
        <v>25</v>
      </c>
      <c r="B981" t="s">
        <v>85</v>
      </c>
      <c r="C981" t="s">
        <v>57</v>
      </c>
      <c r="D981">
        <v>2024</v>
      </c>
      <c r="E981" t="s">
        <v>61</v>
      </c>
      <c r="F981">
        <v>344</v>
      </c>
      <c r="G981" t="s">
        <v>143</v>
      </c>
    </row>
    <row r="982" spans="1:7" x14ac:dyDescent="0.35">
      <c r="A982" t="s">
        <v>25</v>
      </c>
      <c r="B982" t="s">
        <v>85</v>
      </c>
      <c r="C982" t="s">
        <v>57</v>
      </c>
      <c r="D982">
        <v>2024</v>
      </c>
      <c r="E982" t="s">
        <v>63</v>
      </c>
      <c r="F982">
        <v>318</v>
      </c>
      <c r="G982" t="s">
        <v>143</v>
      </c>
    </row>
    <row r="983" spans="1:7" x14ac:dyDescent="0.35">
      <c r="A983" t="s">
        <v>25</v>
      </c>
      <c r="B983" t="s">
        <v>85</v>
      </c>
      <c r="C983" t="s">
        <v>57</v>
      </c>
      <c r="D983">
        <v>2024</v>
      </c>
      <c r="E983" t="s">
        <v>144</v>
      </c>
      <c r="F983">
        <v>349</v>
      </c>
      <c r="G983" t="s">
        <v>143</v>
      </c>
    </row>
    <row r="984" spans="1:7" x14ac:dyDescent="0.35">
      <c r="A984" t="s">
        <v>25</v>
      </c>
      <c r="B984" t="s">
        <v>85</v>
      </c>
      <c r="C984" t="s">
        <v>57</v>
      </c>
      <c r="D984">
        <v>2025</v>
      </c>
      <c r="E984" t="s">
        <v>60</v>
      </c>
      <c r="F984">
        <v>278</v>
      </c>
      <c r="G984" t="s">
        <v>143</v>
      </c>
    </row>
    <row r="985" spans="1:7" x14ac:dyDescent="0.35">
      <c r="A985" t="s">
        <v>25</v>
      </c>
      <c r="B985" t="s">
        <v>85</v>
      </c>
      <c r="C985" t="s">
        <v>57</v>
      </c>
      <c r="D985">
        <v>2025</v>
      </c>
      <c r="E985" t="s">
        <v>61</v>
      </c>
      <c r="F985">
        <v>375</v>
      </c>
      <c r="G985" t="s">
        <v>143</v>
      </c>
    </row>
    <row r="986" spans="1:7" x14ac:dyDescent="0.35">
      <c r="A986" t="s">
        <v>25</v>
      </c>
      <c r="B986" t="s">
        <v>85</v>
      </c>
      <c r="C986" t="s">
        <v>57</v>
      </c>
      <c r="D986">
        <v>2025</v>
      </c>
      <c r="E986" t="s">
        <v>63</v>
      </c>
      <c r="F986">
        <v>334</v>
      </c>
      <c r="G986" t="s">
        <v>143</v>
      </c>
    </row>
    <row r="987" spans="1:7" x14ac:dyDescent="0.35">
      <c r="A987" t="s">
        <v>25</v>
      </c>
      <c r="B987" t="s">
        <v>85</v>
      </c>
      <c r="C987" t="s">
        <v>57</v>
      </c>
      <c r="D987">
        <v>2025</v>
      </c>
      <c r="E987" t="s">
        <v>144</v>
      </c>
      <c r="F987">
        <v>486</v>
      </c>
      <c r="G987" t="s">
        <v>143</v>
      </c>
    </row>
    <row r="988" spans="1:7" x14ac:dyDescent="0.35">
      <c r="A988" t="s">
        <v>25</v>
      </c>
      <c r="B988" t="s">
        <v>85</v>
      </c>
      <c r="C988" t="s">
        <v>57</v>
      </c>
      <c r="D988">
        <v>2026</v>
      </c>
      <c r="E988" t="s">
        <v>60</v>
      </c>
      <c r="F988">
        <v>398</v>
      </c>
      <c r="G988" t="s">
        <v>143</v>
      </c>
    </row>
    <row r="989" spans="1:7" x14ac:dyDescent="0.35">
      <c r="A989" t="s">
        <v>25</v>
      </c>
      <c r="B989" t="s">
        <v>85</v>
      </c>
      <c r="C989" t="s">
        <v>58</v>
      </c>
      <c r="D989">
        <v>2022</v>
      </c>
      <c r="E989" t="s">
        <v>60</v>
      </c>
      <c r="F989">
        <v>20</v>
      </c>
      <c r="G989" t="s">
        <v>143</v>
      </c>
    </row>
    <row r="990" spans="1:7" x14ac:dyDescent="0.35">
      <c r="A990" t="s">
        <v>25</v>
      </c>
      <c r="B990" t="s">
        <v>85</v>
      </c>
      <c r="C990" t="s">
        <v>58</v>
      </c>
      <c r="D990">
        <v>2022</v>
      </c>
      <c r="E990" t="s">
        <v>61</v>
      </c>
      <c r="F990">
        <v>19</v>
      </c>
      <c r="G990" t="s">
        <v>143</v>
      </c>
    </row>
    <row r="991" spans="1:7" x14ac:dyDescent="0.35">
      <c r="A991" t="s">
        <v>25</v>
      </c>
      <c r="B991" t="s">
        <v>85</v>
      </c>
      <c r="C991" t="s">
        <v>58</v>
      </c>
      <c r="D991">
        <v>2022</v>
      </c>
      <c r="E991" t="s">
        <v>63</v>
      </c>
      <c r="F991">
        <v>10</v>
      </c>
      <c r="G991" t="s">
        <v>143</v>
      </c>
    </row>
    <row r="992" spans="1:7" x14ac:dyDescent="0.35">
      <c r="A992" t="s">
        <v>25</v>
      </c>
      <c r="B992" t="s">
        <v>85</v>
      </c>
      <c r="C992" t="s">
        <v>58</v>
      </c>
      <c r="D992">
        <v>2022</v>
      </c>
      <c r="E992" t="s">
        <v>144</v>
      </c>
      <c r="F992">
        <v>44</v>
      </c>
      <c r="G992" t="s">
        <v>143</v>
      </c>
    </row>
    <row r="993" spans="1:7" x14ac:dyDescent="0.35">
      <c r="A993" t="s">
        <v>25</v>
      </c>
      <c r="B993" t="s">
        <v>85</v>
      </c>
      <c r="C993" t="s">
        <v>58</v>
      </c>
      <c r="D993">
        <v>2023</v>
      </c>
      <c r="E993" t="s">
        <v>60</v>
      </c>
      <c r="F993">
        <v>22</v>
      </c>
      <c r="G993" t="s">
        <v>143</v>
      </c>
    </row>
    <row r="994" spans="1:7" x14ac:dyDescent="0.35">
      <c r="A994" t="s">
        <v>25</v>
      </c>
      <c r="B994" t="s">
        <v>85</v>
      </c>
      <c r="C994" t="s">
        <v>58</v>
      </c>
      <c r="D994">
        <v>2023</v>
      </c>
      <c r="E994" t="s">
        <v>61</v>
      </c>
      <c r="F994">
        <v>47</v>
      </c>
      <c r="G994" t="s">
        <v>143</v>
      </c>
    </row>
    <row r="995" spans="1:7" x14ac:dyDescent="0.35">
      <c r="A995" t="s">
        <v>25</v>
      </c>
      <c r="B995" t="s">
        <v>85</v>
      </c>
      <c r="C995" t="s">
        <v>58</v>
      </c>
      <c r="D995">
        <v>2023</v>
      </c>
      <c r="E995" t="s">
        <v>63</v>
      </c>
      <c r="F995">
        <v>33</v>
      </c>
      <c r="G995" t="s">
        <v>143</v>
      </c>
    </row>
    <row r="996" spans="1:7" x14ac:dyDescent="0.35">
      <c r="A996" t="s">
        <v>25</v>
      </c>
      <c r="B996" t="s">
        <v>85</v>
      </c>
      <c r="C996" t="s">
        <v>58</v>
      </c>
      <c r="D996">
        <v>2023</v>
      </c>
      <c r="E996" t="s">
        <v>144</v>
      </c>
      <c r="F996">
        <v>66</v>
      </c>
      <c r="G996" t="s">
        <v>143</v>
      </c>
    </row>
    <row r="997" spans="1:7" x14ac:dyDescent="0.35">
      <c r="A997" t="s">
        <v>25</v>
      </c>
      <c r="B997" t="s">
        <v>85</v>
      </c>
      <c r="C997" t="s">
        <v>58</v>
      </c>
      <c r="D997">
        <v>2024</v>
      </c>
      <c r="E997" t="s">
        <v>60</v>
      </c>
      <c r="F997">
        <v>31</v>
      </c>
      <c r="G997" t="s">
        <v>143</v>
      </c>
    </row>
    <row r="998" spans="1:7" x14ac:dyDescent="0.35">
      <c r="A998" t="s">
        <v>25</v>
      </c>
      <c r="B998" t="s">
        <v>85</v>
      </c>
      <c r="C998" t="s">
        <v>58</v>
      </c>
      <c r="D998">
        <v>2024</v>
      </c>
      <c r="E998" t="s">
        <v>61</v>
      </c>
      <c r="F998">
        <v>24</v>
      </c>
      <c r="G998" t="s">
        <v>143</v>
      </c>
    </row>
    <row r="999" spans="1:7" x14ac:dyDescent="0.35">
      <c r="A999" t="s">
        <v>25</v>
      </c>
      <c r="B999" t="s">
        <v>85</v>
      </c>
      <c r="C999" t="s">
        <v>58</v>
      </c>
      <c r="D999">
        <v>2024</v>
      </c>
      <c r="E999" t="s">
        <v>63</v>
      </c>
      <c r="F999">
        <v>29</v>
      </c>
      <c r="G999" t="s">
        <v>143</v>
      </c>
    </row>
    <row r="1000" spans="1:7" x14ac:dyDescent="0.35">
      <c r="A1000" t="s">
        <v>25</v>
      </c>
      <c r="B1000" t="s">
        <v>85</v>
      </c>
      <c r="C1000" t="s">
        <v>58</v>
      </c>
      <c r="D1000">
        <v>2024</v>
      </c>
      <c r="E1000" t="s">
        <v>144</v>
      </c>
      <c r="F1000">
        <v>50</v>
      </c>
      <c r="G1000" t="s">
        <v>143</v>
      </c>
    </row>
    <row r="1001" spans="1:7" x14ac:dyDescent="0.35">
      <c r="A1001" t="s">
        <v>25</v>
      </c>
      <c r="B1001" t="s">
        <v>85</v>
      </c>
      <c r="C1001" t="s">
        <v>58</v>
      </c>
      <c r="D1001">
        <v>2025</v>
      </c>
      <c r="E1001" t="s">
        <v>60</v>
      </c>
      <c r="F1001">
        <v>35</v>
      </c>
      <c r="G1001" t="s">
        <v>143</v>
      </c>
    </row>
    <row r="1002" spans="1:7" x14ac:dyDescent="0.35">
      <c r="A1002" t="s">
        <v>25</v>
      </c>
      <c r="B1002" t="s">
        <v>85</v>
      </c>
      <c r="C1002" t="s">
        <v>58</v>
      </c>
      <c r="D1002">
        <v>2025</v>
      </c>
      <c r="E1002" t="s">
        <v>61</v>
      </c>
      <c r="F1002">
        <v>223</v>
      </c>
      <c r="G1002" t="s">
        <v>143</v>
      </c>
    </row>
    <row r="1003" spans="1:7" x14ac:dyDescent="0.35">
      <c r="A1003" t="s">
        <v>25</v>
      </c>
      <c r="B1003" t="s">
        <v>85</v>
      </c>
      <c r="C1003" t="s">
        <v>58</v>
      </c>
      <c r="D1003">
        <v>2025</v>
      </c>
      <c r="E1003" t="s">
        <v>63</v>
      </c>
      <c r="F1003">
        <v>47</v>
      </c>
      <c r="G1003" t="s">
        <v>143</v>
      </c>
    </row>
    <row r="1004" spans="1:7" x14ac:dyDescent="0.35">
      <c r="A1004" t="s">
        <v>25</v>
      </c>
      <c r="B1004" t="s">
        <v>85</v>
      </c>
      <c r="C1004" t="s">
        <v>58</v>
      </c>
      <c r="D1004">
        <v>2025</v>
      </c>
      <c r="E1004" t="s">
        <v>144</v>
      </c>
      <c r="F1004">
        <v>625</v>
      </c>
      <c r="G1004" t="s">
        <v>143</v>
      </c>
    </row>
    <row r="1005" spans="1:7" x14ac:dyDescent="0.35">
      <c r="A1005" t="s">
        <v>25</v>
      </c>
      <c r="B1005" t="s">
        <v>85</v>
      </c>
      <c r="C1005" t="s">
        <v>58</v>
      </c>
      <c r="D1005">
        <v>2026</v>
      </c>
      <c r="E1005" t="s">
        <v>60</v>
      </c>
      <c r="F1005">
        <v>30</v>
      </c>
      <c r="G1005" t="s">
        <v>143</v>
      </c>
    </row>
    <row r="1006" spans="1:7" x14ac:dyDescent="0.35">
      <c r="A1006" t="s">
        <v>25</v>
      </c>
      <c r="B1006" t="s">
        <v>85</v>
      </c>
      <c r="C1006" t="s">
        <v>59</v>
      </c>
      <c r="D1006">
        <v>2022</v>
      </c>
      <c r="E1006" t="s">
        <v>60</v>
      </c>
      <c r="F1006">
        <v>1825</v>
      </c>
      <c r="G1006" t="s">
        <v>143</v>
      </c>
    </row>
    <row r="1007" spans="1:7" x14ac:dyDescent="0.35">
      <c r="A1007" t="s">
        <v>25</v>
      </c>
      <c r="B1007" t="s">
        <v>85</v>
      </c>
      <c r="C1007" t="s">
        <v>59</v>
      </c>
      <c r="D1007">
        <v>2022</v>
      </c>
      <c r="E1007" t="s">
        <v>61</v>
      </c>
      <c r="F1007">
        <v>1720</v>
      </c>
      <c r="G1007" t="s">
        <v>143</v>
      </c>
    </row>
    <row r="1008" spans="1:7" x14ac:dyDescent="0.35">
      <c r="A1008" t="s">
        <v>25</v>
      </c>
      <c r="B1008" t="s">
        <v>85</v>
      </c>
      <c r="C1008" t="s">
        <v>59</v>
      </c>
      <c r="D1008">
        <v>2022</v>
      </c>
      <c r="E1008" t="s">
        <v>63</v>
      </c>
      <c r="F1008">
        <v>1580</v>
      </c>
      <c r="G1008" t="s">
        <v>143</v>
      </c>
    </row>
    <row r="1009" spans="1:7" x14ac:dyDescent="0.35">
      <c r="A1009" t="s">
        <v>25</v>
      </c>
      <c r="B1009" t="s">
        <v>85</v>
      </c>
      <c r="C1009" t="s">
        <v>59</v>
      </c>
      <c r="D1009">
        <v>2022</v>
      </c>
      <c r="E1009" t="s">
        <v>144</v>
      </c>
      <c r="F1009">
        <v>1443</v>
      </c>
      <c r="G1009" t="s">
        <v>143</v>
      </c>
    </row>
    <row r="1010" spans="1:7" x14ac:dyDescent="0.35">
      <c r="A1010" t="s">
        <v>25</v>
      </c>
      <c r="B1010" t="s">
        <v>85</v>
      </c>
      <c r="C1010" t="s">
        <v>59</v>
      </c>
      <c r="D1010">
        <v>2023</v>
      </c>
      <c r="E1010" t="s">
        <v>60</v>
      </c>
      <c r="F1010">
        <v>1422</v>
      </c>
      <c r="G1010" t="s">
        <v>143</v>
      </c>
    </row>
    <row r="1011" spans="1:7" x14ac:dyDescent="0.35">
      <c r="A1011" t="s">
        <v>25</v>
      </c>
      <c r="B1011" t="s">
        <v>85</v>
      </c>
      <c r="C1011" t="s">
        <v>59</v>
      </c>
      <c r="D1011">
        <v>2023</v>
      </c>
      <c r="E1011" t="s">
        <v>61</v>
      </c>
      <c r="F1011">
        <v>1447</v>
      </c>
      <c r="G1011" t="s">
        <v>143</v>
      </c>
    </row>
    <row r="1012" spans="1:7" x14ac:dyDescent="0.35">
      <c r="A1012" t="s">
        <v>25</v>
      </c>
      <c r="B1012" t="s">
        <v>85</v>
      </c>
      <c r="C1012" t="s">
        <v>59</v>
      </c>
      <c r="D1012">
        <v>2023</v>
      </c>
      <c r="E1012" t="s">
        <v>63</v>
      </c>
      <c r="F1012">
        <v>1413</v>
      </c>
      <c r="G1012" t="s">
        <v>143</v>
      </c>
    </row>
    <row r="1013" spans="1:7" x14ac:dyDescent="0.35">
      <c r="A1013" t="s">
        <v>25</v>
      </c>
      <c r="B1013" t="s">
        <v>85</v>
      </c>
      <c r="C1013" t="s">
        <v>59</v>
      </c>
      <c r="D1013">
        <v>2023</v>
      </c>
      <c r="E1013" t="s">
        <v>144</v>
      </c>
      <c r="F1013">
        <v>1328</v>
      </c>
      <c r="G1013" t="s">
        <v>143</v>
      </c>
    </row>
    <row r="1014" spans="1:7" x14ac:dyDescent="0.35">
      <c r="A1014" t="s">
        <v>25</v>
      </c>
      <c r="B1014" t="s">
        <v>85</v>
      </c>
      <c r="C1014" t="s">
        <v>59</v>
      </c>
      <c r="D1014">
        <v>2024</v>
      </c>
      <c r="E1014" t="s">
        <v>60</v>
      </c>
      <c r="F1014">
        <v>1335</v>
      </c>
      <c r="G1014" t="s">
        <v>143</v>
      </c>
    </row>
    <row r="1015" spans="1:7" x14ac:dyDescent="0.35">
      <c r="A1015" t="s">
        <v>25</v>
      </c>
      <c r="B1015" t="s">
        <v>85</v>
      </c>
      <c r="C1015" t="s">
        <v>59</v>
      </c>
      <c r="D1015">
        <v>2024</v>
      </c>
      <c r="E1015" t="s">
        <v>61</v>
      </c>
      <c r="F1015">
        <v>1178</v>
      </c>
      <c r="G1015" t="s">
        <v>143</v>
      </c>
    </row>
    <row r="1016" spans="1:7" x14ac:dyDescent="0.35">
      <c r="A1016" t="s">
        <v>25</v>
      </c>
      <c r="B1016" t="s">
        <v>85</v>
      </c>
      <c r="C1016" t="s">
        <v>59</v>
      </c>
      <c r="D1016">
        <v>2024</v>
      </c>
      <c r="E1016" t="s">
        <v>63</v>
      </c>
      <c r="F1016">
        <v>1158</v>
      </c>
      <c r="G1016" t="s">
        <v>143</v>
      </c>
    </row>
    <row r="1017" spans="1:7" x14ac:dyDescent="0.35">
      <c r="A1017" t="s">
        <v>25</v>
      </c>
      <c r="B1017" t="s">
        <v>85</v>
      </c>
      <c r="C1017" t="s">
        <v>59</v>
      </c>
      <c r="D1017">
        <v>2024</v>
      </c>
      <c r="E1017" t="s">
        <v>144</v>
      </c>
      <c r="F1017">
        <v>1086</v>
      </c>
      <c r="G1017" t="s">
        <v>143</v>
      </c>
    </row>
    <row r="1018" spans="1:7" x14ac:dyDescent="0.35">
      <c r="A1018" t="s">
        <v>25</v>
      </c>
      <c r="B1018" t="s">
        <v>85</v>
      </c>
      <c r="C1018" t="s">
        <v>59</v>
      </c>
      <c r="D1018">
        <v>2025</v>
      </c>
      <c r="E1018" t="s">
        <v>60</v>
      </c>
      <c r="F1018">
        <v>1109</v>
      </c>
      <c r="G1018" t="s">
        <v>143</v>
      </c>
    </row>
    <row r="1019" spans="1:7" x14ac:dyDescent="0.35">
      <c r="A1019" t="s">
        <v>25</v>
      </c>
      <c r="B1019" t="s">
        <v>85</v>
      </c>
      <c r="C1019" t="s">
        <v>59</v>
      </c>
      <c r="D1019">
        <v>2025</v>
      </c>
      <c r="E1019" t="s">
        <v>61</v>
      </c>
      <c r="F1019">
        <v>1184</v>
      </c>
      <c r="G1019" t="s">
        <v>143</v>
      </c>
    </row>
    <row r="1020" spans="1:7" x14ac:dyDescent="0.35">
      <c r="A1020" t="s">
        <v>25</v>
      </c>
      <c r="B1020" t="s">
        <v>85</v>
      </c>
      <c r="C1020" t="s">
        <v>59</v>
      </c>
      <c r="D1020">
        <v>2025</v>
      </c>
      <c r="E1020" t="s">
        <v>63</v>
      </c>
      <c r="F1020">
        <v>1285</v>
      </c>
      <c r="G1020" t="s">
        <v>143</v>
      </c>
    </row>
    <row r="1021" spans="1:7" x14ac:dyDescent="0.35">
      <c r="A1021" t="s">
        <v>25</v>
      </c>
      <c r="B1021" t="s">
        <v>85</v>
      </c>
      <c r="C1021" t="s">
        <v>59</v>
      </c>
      <c r="D1021">
        <v>2025</v>
      </c>
      <c r="E1021" t="s">
        <v>144</v>
      </c>
      <c r="F1021">
        <v>1968</v>
      </c>
      <c r="G1021" t="s">
        <v>143</v>
      </c>
    </row>
    <row r="1022" spans="1:7" x14ac:dyDescent="0.35">
      <c r="A1022" t="s">
        <v>25</v>
      </c>
      <c r="B1022" t="s">
        <v>85</v>
      </c>
      <c r="C1022" t="s">
        <v>59</v>
      </c>
      <c r="D1022">
        <v>2026</v>
      </c>
      <c r="E1022" t="s">
        <v>60</v>
      </c>
      <c r="F1022">
        <v>1444</v>
      </c>
      <c r="G1022" t="s">
        <v>143</v>
      </c>
    </row>
    <row r="1023" spans="1:7" x14ac:dyDescent="0.35">
      <c r="A1023" t="s">
        <v>26</v>
      </c>
      <c r="B1023" t="s">
        <v>86</v>
      </c>
      <c r="C1023" t="s">
        <v>57</v>
      </c>
      <c r="D1023">
        <v>2023</v>
      </c>
      <c r="E1023" t="s">
        <v>144</v>
      </c>
      <c r="F1023">
        <v>577</v>
      </c>
      <c r="G1023" t="s">
        <v>143</v>
      </c>
    </row>
    <row r="1024" spans="1:7" x14ac:dyDescent="0.35">
      <c r="A1024" t="s">
        <v>26</v>
      </c>
      <c r="B1024" t="s">
        <v>86</v>
      </c>
      <c r="C1024" t="s">
        <v>57</v>
      </c>
      <c r="D1024">
        <v>2024</v>
      </c>
      <c r="E1024" t="s">
        <v>60</v>
      </c>
      <c r="F1024">
        <v>539</v>
      </c>
      <c r="G1024" t="s">
        <v>143</v>
      </c>
    </row>
    <row r="1025" spans="1:7" x14ac:dyDescent="0.35">
      <c r="A1025" t="s">
        <v>26</v>
      </c>
      <c r="B1025" t="s">
        <v>86</v>
      </c>
      <c r="C1025" t="s">
        <v>57</v>
      </c>
      <c r="D1025">
        <v>2024</v>
      </c>
      <c r="E1025" t="s">
        <v>61</v>
      </c>
      <c r="F1025">
        <v>577</v>
      </c>
      <c r="G1025" t="s">
        <v>143</v>
      </c>
    </row>
    <row r="1026" spans="1:7" x14ac:dyDescent="0.35">
      <c r="A1026" t="s">
        <v>26</v>
      </c>
      <c r="B1026" t="s">
        <v>86</v>
      </c>
      <c r="C1026" t="s">
        <v>57</v>
      </c>
      <c r="D1026">
        <v>2024</v>
      </c>
      <c r="E1026" t="s">
        <v>63</v>
      </c>
      <c r="F1026">
        <v>558</v>
      </c>
      <c r="G1026" t="s">
        <v>143</v>
      </c>
    </row>
    <row r="1027" spans="1:7" x14ac:dyDescent="0.35">
      <c r="A1027" t="s">
        <v>26</v>
      </c>
      <c r="B1027" t="s">
        <v>86</v>
      </c>
      <c r="C1027" t="s">
        <v>57</v>
      </c>
      <c r="D1027">
        <v>2024</v>
      </c>
      <c r="E1027" t="s">
        <v>144</v>
      </c>
      <c r="F1027">
        <v>653</v>
      </c>
      <c r="G1027" t="s">
        <v>143</v>
      </c>
    </row>
    <row r="1028" spans="1:7" x14ac:dyDescent="0.35">
      <c r="A1028" t="s">
        <v>26</v>
      </c>
      <c r="B1028" t="s">
        <v>86</v>
      </c>
      <c r="C1028" t="s">
        <v>57</v>
      </c>
      <c r="D1028">
        <v>2025</v>
      </c>
      <c r="E1028" t="s">
        <v>60</v>
      </c>
      <c r="F1028">
        <v>541</v>
      </c>
      <c r="G1028" t="s">
        <v>143</v>
      </c>
    </row>
    <row r="1029" spans="1:7" x14ac:dyDescent="0.35">
      <c r="A1029" t="s">
        <v>26</v>
      </c>
      <c r="B1029" t="s">
        <v>86</v>
      </c>
      <c r="C1029" t="s">
        <v>57</v>
      </c>
      <c r="D1029">
        <v>2025</v>
      </c>
      <c r="E1029" t="s">
        <v>61</v>
      </c>
      <c r="F1029">
        <v>579</v>
      </c>
      <c r="G1029" t="s">
        <v>143</v>
      </c>
    </row>
    <row r="1030" spans="1:7" x14ac:dyDescent="0.35">
      <c r="A1030" t="s">
        <v>26</v>
      </c>
      <c r="B1030" t="s">
        <v>86</v>
      </c>
      <c r="C1030" t="s">
        <v>57</v>
      </c>
      <c r="D1030">
        <v>2025</v>
      </c>
      <c r="E1030" t="s">
        <v>63</v>
      </c>
      <c r="F1030">
        <v>591</v>
      </c>
      <c r="G1030" t="s">
        <v>143</v>
      </c>
    </row>
    <row r="1031" spans="1:7" x14ac:dyDescent="0.35">
      <c r="A1031" t="s">
        <v>26</v>
      </c>
      <c r="B1031" t="s">
        <v>86</v>
      </c>
      <c r="C1031" t="s">
        <v>57</v>
      </c>
      <c r="D1031">
        <v>2025</v>
      </c>
      <c r="E1031" t="s">
        <v>144</v>
      </c>
      <c r="F1031">
        <v>776</v>
      </c>
      <c r="G1031" t="s">
        <v>143</v>
      </c>
    </row>
    <row r="1032" spans="1:7" x14ac:dyDescent="0.35">
      <c r="A1032" t="s">
        <v>26</v>
      </c>
      <c r="B1032" t="s">
        <v>86</v>
      </c>
      <c r="C1032" t="s">
        <v>57</v>
      </c>
      <c r="D1032">
        <v>2026</v>
      </c>
      <c r="E1032" t="s">
        <v>60</v>
      </c>
      <c r="F1032">
        <v>710</v>
      </c>
      <c r="G1032" t="s">
        <v>143</v>
      </c>
    </row>
    <row r="1033" spans="1:7" x14ac:dyDescent="0.35">
      <c r="A1033" t="s">
        <v>26</v>
      </c>
      <c r="B1033" t="s">
        <v>86</v>
      </c>
      <c r="C1033" t="s">
        <v>58</v>
      </c>
      <c r="D1033">
        <v>2023</v>
      </c>
      <c r="E1033" t="s">
        <v>144</v>
      </c>
      <c r="F1033">
        <v>24</v>
      </c>
      <c r="G1033" t="s">
        <v>143</v>
      </c>
    </row>
    <row r="1034" spans="1:7" x14ac:dyDescent="0.35">
      <c r="A1034" t="s">
        <v>26</v>
      </c>
      <c r="B1034" t="s">
        <v>86</v>
      </c>
      <c r="C1034" t="s">
        <v>58</v>
      </c>
      <c r="D1034">
        <v>2024</v>
      </c>
      <c r="E1034" t="s">
        <v>60</v>
      </c>
      <c r="F1034">
        <v>10</v>
      </c>
      <c r="G1034" t="s">
        <v>143</v>
      </c>
    </row>
    <row r="1035" spans="1:7" x14ac:dyDescent="0.35">
      <c r="A1035" t="s">
        <v>26</v>
      </c>
      <c r="B1035" t="s">
        <v>86</v>
      </c>
      <c r="C1035" t="s">
        <v>58</v>
      </c>
      <c r="D1035">
        <v>2024</v>
      </c>
      <c r="E1035" t="s">
        <v>61</v>
      </c>
      <c r="F1035">
        <v>58</v>
      </c>
      <c r="G1035" t="s">
        <v>143</v>
      </c>
    </row>
    <row r="1036" spans="1:7" x14ac:dyDescent="0.35">
      <c r="A1036" t="s">
        <v>26</v>
      </c>
      <c r="B1036" t="s">
        <v>86</v>
      </c>
      <c r="C1036" t="s">
        <v>58</v>
      </c>
      <c r="D1036">
        <v>2024</v>
      </c>
      <c r="E1036" t="s">
        <v>63</v>
      </c>
      <c r="F1036">
        <v>18</v>
      </c>
      <c r="G1036" t="s">
        <v>143</v>
      </c>
    </row>
    <row r="1037" spans="1:7" x14ac:dyDescent="0.35">
      <c r="A1037" t="s">
        <v>26</v>
      </c>
      <c r="B1037" t="s">
        <v>86</v>
      </c>
      <c r="C1037" t="s">
        <v>58</v>
      </c>
      <c r="D1037">
        <v>2024</v>
      </c>
      <c r="E1037" t="s">
        <v>144</v>
      </c>
      <c r="F1037">
        <v>22</v>
      </c>
      <c r="G1037" t="s">
        <v>143</v>
      </c>
    </row>
    <row r="1038" spans="1:7" x14ac:dyDescent="0.35">
      <c r="A1038" t="s">
        <v>26</v>
      </c>
      <c r="B1038" t="s">
        <v>86</v>
      </c>
      <c r="C1038" t="s">
        <v>58</v>
      </c>
      <c r="D1038">
        <v>2025</v>
      </c>
      <c r="E1038" t="s">
        <v>60</v>
      </c>
      <c r="F1038">
        <v>20</v>
      </c>
      <c r="G1038" t="s">
        <v>143</v>
      </c>
    </row>
    <row r="1039" spans="1:7" x14ac:dyDescent="0.35">
      <c r="A1039" t="s">
        <v>26</v>
      </c>
      <c r="B1039" t="s">
        <v>86</v>
      </c>
      <c r="C1039" t="s">
        <v>58</v>
      </c>
      <c r="D1039">
        <v>2025</v>
      </c>
      <c r="E1039" t="s">
        <v>61</v>
      </c>
      <c r="F1039">
        <v>2</v>
      </c>
      <c r="G1039" t="s">
        <v>143</v>
      </c>
    </row>
    <row r="1040" spans="1:7" x14ac:dyDescent="0.35">
      <c r="A1040" t="s">
        <v>26</v>
      </c>
      <c r="B1040" t="s">
        <v>86</v>
      </c>
      <c r="C1040" t="s">
        <v>58</v>
      </c>
      <c r="D1040">
        <v>2025</v>
      </c>
      <c r="E1040" t="s">
        <v>63</v>
      </c>
      <c r="F1040">
        <v>78</v>
      </c>
      <c r="G1040" t="s">
        <v>143</v>
      </c>
    </row>
    <row r="1041" spans="1:7" x14ac:dyDescent="0.35">
      <c r="A1041" t="s">
        <v>26</v>
      </c>
      <c r="B1041" t="s">
        <v>86</v>
      </c>
      <c r="C1041" t="s">
        <v>58</v>
      </c>
      <c r="D1041">
        <v>2025</v>
      </c>
      <c r="E1041" t="s">
        <v>144</v>
      </c>
      <c r="F1041">
        <v>875</v>
      </c>
      <c r="G1041" t="s">
        <v>143</v>
      </c>
    </row>
    <row r="1042" spans="1:7" x14ac:dyDescent="0.35">
      <c r="A1042" t="s">
        <v>26</v>
      </c>
      <c r="B1042" t="s">
        <v>86</v>
      </c>
      <c r="C1042" t="s">
        <v>58</v>
      </c>
      <c r="D1042">
        <v>2026</v>
      </c>
      <c r="E1042" t="s">
        <v>60</v>
      </c>
      <c r="F1042">
        <v>56</v>
      </c>
      <c r="G1042" t="s">
        <v>143</v>
      </c>
    </row>
    <row r="1043" spans="1:7" x14ac:dyDescent="0.35">
      <c r="A1043" t="s">
        <v>26</v>
      </c>
      <c r="B1043" t="s">
        <v>86</v>
      </c>
      <c r="C1043" t="s">
        <v>59</v>
      </c>
      <c r="D1043">
        <v>2023</v>
      </c>
      <c r="E1043" t="s">
        <v>144</v>
      </c>
      <c r="F1043">
        <v>568</v>
      </c>
      <c r="G1043" t="s">
        <v>143</v>
      </c>
    </row>
    <row r="1044" spans="1:7" x14ac:dyDescent="0.35">
      <c r="A1044" t="s">
        <v>26</v>
      </c>
      <c r="B1044" t="s">
        <v>86</v>
      </c>
      <c r="C1044" t="s">
        <v>59</v>
      </c>
      <c r="D1044">
        <v>2025</v>
      </c>
      <c r="E1044" t="s">
        <v>60</v>
      </c>
      <c r="F1044">
        <v>-15</v>
      </c>
      <c r="G1044" t="s">
        <v>143</v>
      </c>
    </row>
    <row r="1045" spans="1:7" x14ac:dyDescent="0.35">
      <c r="A1045" t="s">
        <v>26</v>
      </c>
      <c r="B1045" t="s">
        <v>86</v>
      </c>
      <c r="C1045" t="s">
        <v>59</v>
      </c>
      <c r="D1045">
        <v>2025</v>
      </c>
      <c r="E1045" t="s">
        <v>61</v>
      </c>
      <c r="F1045">
        <v>-26</v>
      </c>
      <c r="G1045" t="s">
        <v>143</v>
      </c>
    </row>
    <row r="1046" spans="1:7" x14ac:dyDescent="0.35">
      <c r="A1046" t="s">
        <v>26</v>
      </c>
      <c r="B1046" t="s">
        <v>86</v>
      </c>
      <c r="C1046" t="s">
        <v>59</v>
      </c>
      <c r="D1046">
        <v>2025</v>
      </c>
      <c r="E1046" t="s">
        <v>63</v>
      </c>
      <c r="F1046">
        <v>91</v>
      </c>
      <c r="G1046" t="s">
        <v>143</v>
      </c>
    </row>
    <row r="1047" spans="1:7" x14ac:dyDescent="0.35">
      <c r="A1047" t="s">
        <v>26</v>
      </c>
      <c r="B1047" t="s">
        <v>86</v>
      </c>
      <c r="C1047" t="s">
        <v>59</v>
      </c>
      <c r="D1047">
        <v>2025</v>
      </c>
      <c r="E1047" t="s">
        <v>144</v>
      </c>
      <c r="F1047">
        <v>949</v>
      </c>
      <c r="G1047" t="s">
        <v>143</v>
      </c>
    </row>
    <row r="1048" spans="1:7" x14ac:dyDescent="0.35">
      <c r="A1048" t="s">
        <v>26</v>
      </c>
      <c r="B1048" t="s">
        <v>86</v>
      </c>
      <c r="C1048" t="s">
        <v>59</v>
      </c>
      <c r="D1048">
        <v>2026</v>
      </c>
      <c r="E1048" t="s">
        <v>60</v>
      </c>
      <c r="F1048">
        <v>935</v>
      </c>
      <c r="G1048" t="s">
        <v>143</v>
      </c>
    </row>
    <row r="1049" spans="1:7" x14ac:dyDescent="0.35">
      <c r="A1049" t="s">
        <v>27</v>
      </c>
      <c r="B1049" t="s">
        <v>87</v>
      </c>
      <c r="C1049" t="s">
        <v>57</v>
      </c>
      <c r="D1049">
        <v>2022</v>
      </c>
      <c r="E1049" t="s">
        <v>60</v>
      </c>
      <c r="F1049">
        <v>962</v>
      </c>
      <c r="G1049" t="s">
        <v>143</v>
      </c>
    </row>
    <row r="1050" spans="1:7" x14ac:dyDescent="0.35">
      <c r="A1050" t="s">
        <v>27</v>
      </c>
      <c r="B1050" t="s">
        <v>87</v>
      </c>
      <c r="C1050" t="s">
        <v>57</v>
      </c>
      <c r="D1050">
        <v>2022</v>
      </c>
      <c r="E1050" t="s">
        <v>61</v>
      </c>
      <c r="F1050">
        <v>1031</v>
      </c>
      <c r="G1050" t="s">
        <v>143</v>
      </c>
    </row>
    <row r="1051" spans="1:7" x14ac:dyDescent="0.35">
      <c r="A1051" t="s">
        <v>27</v>
      </c>
      <c r="B1051" t="s">
        <v>87</v>
      </c>
      <c r="C1051" t="s">
        <v>57</v>
      </c>
      <c r="D1051">
        <v>2022</v>
      </c>
      <c r="E1051" t="s">
        <v>63</v>
      </c>
      <c r="F1051">
        <v>971</v>
      </c>
      <c r="G1051" t="s">
        <v>143</v>
      </c>
    </row>
    <row r="1052" spans="1:7" x14ac:dyDescent="0.35">
      <c r="A1052" t="s">
        <v>27</v>
      </c>
      <c r="B1052" t="s">
        <v>87</v>
      </c>
      <c r="C1052" t="s">
        <v>57</v>
      </c>
      <c r="D1052">
        <v>2022</v>
      </c>
      <c r="E1052" t="s">
        <v>144</v>
      </c>
      <c r="F1052">
        <v>984</v>
      </c>
      <c r="G1052" t="s">
        <v>143</v>
      </c>
    </row>
    <row r="1053" spans="1:7" x14ac:dyDescent="0.35">
      <c r="A1053" t="s">
        <v>27</v>
      </c>
      <c r="B1053" t="s">
        <v>87</v>
      </c>
      <c r="C1053" t="s">
        <v>57</v>
      </c>
      <c r="D1053">
        <v>2023</v>
      </c>
      <c r="E1053" t="s">
        <v>60</v>
      </c>
      <c r="F1053">
        <v>1004</v>
      </c>
      <c r="G1053" t="s">
        <v>143</v>
      </c>
    </row>
    <row r="1054" spans="1:7" x14ac:dyDescent="0.35">
      <c r="A1054" t="s">
        <v>27</v>
      </c>
      <c r="B1054" t="s">
        <v>87</v>
      </c>
      <c r="C1054" t="s">
        <v>57</v>
      </c>
      <c r="D1054">
        <v>2023</v>
      </c>
      <c r="E1054" t="s">
        <v>61</v>
      </c>
      <c r="F1054">
        <v>1115</v>
      </c>
      <c r="G1054" t="s">
        <v>143</v>
      </c>
    </row>
    <row r="1055" spans="1:7" x14ac:dyDescent="0.35">
      <c r="A1055" t="s">
        <v>27</v>
      </c>
      <c r="B1055" t="s">
        <v>87</v>
      </c>
      <c r="C1055" t="s">
        <v>57</v>
      </c>
      <c r="D1055">
        <v>2023</v>
      </c>
      <c r="E1055" t="s">
        <v>63</v>
      </c>
      <c r="F1055">
        <v>1112</v>
      </c>
      <c r="G1055" t="s">
        <v>143</v>
      </c>
    </row>
    <row r="1056" spans="1:7" x14ac:dyDescent="0.35">
      <c r="A1056" t="s">
        <v>27</v>
      </c>
      <c r="B1056" t="s">
        <v>87</v>
      </c>
      <c r="C1056" t="s">
        <v>57</v>
      </c>
      <c r="D1056">
        <v>2023</v>
      </c>
      <c r="E1056" t="s">
        <v>144</v>
      </c>
      <c r="F1056">
        <v>1090</v>
      </c>
      <c r="G1056" t="s">
        <v>143</v>
      </c>
    </row>
    <row r="1057" spans="1:7" x14ac:dyDescent="0.35">
      <c r="A1057" t="s">
        <v>27</v>
      </c>
      <c r="B1057" t="s">
        <v>87</v>
      </c>
      <c r="C1057" t="s">
        <v>57</v>
      </c>
      <c r="D1057">
        <v>2024</v>
      </c>
      <c r="E1057" t="s">
        <v>60</v>
      </c>
      <c r="F1057">
        <v>1140</v>
      </c>
      <c r="G1057" t="s">
        <v>143</v>
      </c>
    </row>
    <row r="1058" spans="1:7" x14ac:dyDescent="0.35">
      <c r="A1058" t="s">
        <v>27</v>
      </c>
      <c r="B1058" t="s">
        <v>87</v>
      </c>
      <c r="C1058" t="s">
        <v>57</v>
      </c>
      <c r="D1058">
        <v>2024</v>
      </c>
      <c r="E1058" t="s">
        <v>61</v>
      </c>
      <c r="F1058">
        <v>1342</v>
      </c>
      <c r="G1058" t="s">
        <v>143</v>
      </c>
    </row>
    <row r="1059" spans="1:7" x14ac:dyDescent="0.35">
      <c r="A1059" t="s">
        <v>27</v>
      </c>
      <c r="B1059" t="s">
        <v>87</v>
      </c>
      <c r="C1059" t="s">
        <v>57</v>
      </c>
      <c r="D1059">
        <v>2024</v>
      </c>
      <c r="E1059" t="s">
        <v>63</v>
      </c>
      <c r="F1059">
        <v>1235</v>
      </c>
      <c r="G1059" t="s">
        <v>143</v>
      </c>
    </row>
    <row r="1060" spans="1:7" x14ac:dyDescent="0.35">
      <c r="A1060" t="s">
        <v>27</v>
      </c>
      <c r="B1060" t="s">
        <v>87</v>
      </c>
      <c r="C1060" t="s">
        <v>57</v>
      </c>
      <c r="D1060">
        <v>2024</v>
      </c>
      <c r="E1060" t="s">
        <v>144</v>
      </c>
      <c r="F1060">
        <v>1291</v>
      </c>
      <c r="G1060" t="s">
        <v>143</v>
      </c>
    </row>
    <row r="1061" spans="1:7" x14ac:dyDescent="0.35">
      <c r="A1061" t="s">
        <v>27</v>
      </c>
      <c r="B1061" t="s">
        <v>87</v>
      </c>
      <c r="C1061" t="s">
        <v>57</v>
      </c>
      <c r="D1061">
        <v>2025</v>
      </c>
      <c r="E1061" t="s">
        <v>60</v>
      </c>
      <c r="F1061">
        <v>1280</v>
      </c>
      <c r="G1061" t="s">
        <v>143</v>
      </c>
    </row>
    <row r="1062" spans="1:7" x14ac:dyDescent="0.35">
      <c r="A1062" t="s">
        <v>27</v>
      </c>
      <c r="B1062" t="s">
        <v>87</v>
      </c>
      <c r="C1062" t="s">
        <v>57</v>
      </c>
      <c r="D1062">
        <v>2025</v>
      </c>
      <c r="E1062" t="s">
        <v>61</v>
      </c>
      <c r="F1062">
        <v>1586</v>
      </c>
      <c r="G1062" t="s">
        <v>143</v>
      </c>
    </row>
    <row r="1063" spans="1:7" x14ac:dyDescent="0.35">
      <c r="A1063" t="s">
        <v>27</v>
      </c>
      <c r="B1063" t="s">
        <v>87</v>
      </c>
      <c r="C1063" t="s">
        <v>57</v>
      </c>
      <c r="D1063">
        <v>2025</v>
      </c>
      <c r="E1063" t="s">
        <v>63</v>
      </c>
      <c r="F1063">
        <v>1463</v>
      </c>
      <c r="G1063" t="s">
        <v>143</v>
      </c>
    </row>
    <row r="1064" spans="1:7" x14ac:dyDescent="0.35">
      <c r="A1064" t="s">
        <v>27</v>
      </c>
      <c r="B1064" t="s">
        <v>87</v>
      </c>
      <c r="C1064" t="s">
        <v>57</v>
      </c>
      <c r="D1064">
        <v>2025</v>
      </c>
      <c r="E1064" t="s">
        <v>144</v>
      </c>
      <c r="F1064">
        <v>1480</v>
      </c>
      <c r="G1064" t="s">
        <v>143</v>
      </c>
    </row>
    <row r="1065" spans="1:7" x14ac:dyDescent="0.35">
      <c r="A1065" t="s">
        <v>27</v>
      </c>
      <c r="B1065" t="s">
        <v>87</v>
      </c>
      <c r="C1065" t="s">
        <v>57</v>
      </c>
      <c r="D1065">
        <v>2026</v>
      </c>
      <c r="E1065" t="s">
        <v>60</v>
      </c>
      <c r="F1065">
        <v>1435</v>
      </c>
      <c r="G1065" t="s">
        <v>143</v>
      </c>
    </row>
    <row r="1066" spans="1:7" x14ac:dyDescent="0.35">
      <c r="A1066" t="s">
        <v>27</v>
      </c>
      <c r="B1066" t="s">
        <v>87</v>
      </c>
      <c r="C1066" t="s">
        <v>58</v>
      </c>
      <c r="D1066">
        <v>2022</v>
      </c>
      <c r="E1066" t="s">
        <v>60</v>
      </c>
      <c r="F1066">
        <v>15</v>
      </c>
      <c r="G1066" t="s">
        <v>143</v>
      </c>
    </row>
    <row r="1067" spans="1:7" x14ac:dyDescent="0.35">
      <c r="A1067" t="s">
        <v>27</v>
      </c>
      <c r="B1067" t="s">
        <v>87</v>
      </c>
      <c r="C1067" t="s">
        <v>58</v>
      </c>
      <c r="D1067">
        <v>2022</v>
      </c>
      <c r="E1067" t="s">
        <v>61</v>
      </c>
      <c r="F1067">
        <v>141</v>
      </c>
      <c r="G1067" t="s">
        <v>143</v>
      </c>
    </row>
    <row r="1068" spans="1:7" x14ac:dyDescent="0.35">
      <c r="A1068" t="s">
        <v>27</v>
      </c>
      <c r="B1068" t="s">
        <v>87</v>
      </c>
      <c r="C1068" t="s">
        <v>58</v>
      </c>
      <c r="D1068">
        <v>2022</v>
      </c>
      <c r="E1068" t="s">
        <v>63</v>
      </c>
      <c r="F1068">
        <v>42</v>
      </c>
      <c r="G1068" t="s">
        <v>143</v>
      </c>
    </row>
    <row r="1069" spans="1:7" x14ac:dyDescent="0.35">
      <c r="A1069" t="s">
        <v>27</v>
      </c>
      <c r="B1069" t="s">
        <v>87</v>
      </c>
      <c r="C1069" t="s">
        <v>58</v>
      </c>
      <c r="D1069">
        <v>2022</v>
      </c>
      <c r="E1069" t="s">
        <v>144</v>
      </c>
      <c r="F1069">
        <v>279</v>
      </c>
      <c r="G1069" t="s">
        <v>143</v>
      </c>
    </row>
    <row r="1070" spans="1:7" x14ac:dyDescent="0.35">
      <c r="A1070" t="s">
        <v>27</v>
      </c>
      <c r="B1070" t="s">
        <v>87</v>
      </c>
      <c r="C1070" t="s">
        <v>58</v>
      </c>
      <c r="D1070">
        <v>2023</v>
      </c>
      <c r="E1070" t="s">
        <v>60</v>
      </c>
      <c r="F1070">
        <v>16</v>
      </c>
      <c r="G1070" t="s">
        <v>143</v>
      </c>
    </row>
    <row r="1071" spans="1:7" x14ac:dyDescent="0.35">
      <c r="A1071" t="s">
        <v>27</v>
      </c>
      <c r="B1071" t="s">
        <v>87</v>
      </c>
      <c r="C1071" t="s">
        <v>58</v>
      </c>
      <c r="D1071">
        <v>2023</v>
      </c>
      <c r="E1071" t="s">
        <v>61</v>
      </c>
      <c r="F1071">
        <v>122</v>
      </c>
      <c r="G1071" t="s">
        <v>143</v>
      </c>
    </row>
    <row r="1072" spans="1:7" x14ac:dyDescent="0.35">
      <c r="A1072" t="s">
        <v>27</v>
      </c>
      <c r="B1072" t="s">
        <v>87</v>
      </c>
      <c r="C1072" t="s">
        <v>58</v>
      </c>
      <c r="D1072">
        <v>2023</v>
      </c>
      <c r="E1072" t="s">
        <v>63</v>
      </c>
      <c r="F1072">
        <v>65</v>
      </c>
      <c r="G1072" t="s">
        <v>143</v>
      </c>
    </row>
    <row r="1073" spans="1:7" x14ac:dyDescent="0.35">
      <c r="A1073" t="s">
        <v>27</v>
      </c>
      <c r="B1073" t="s">
        <v>87</v>
      </c>
      <c r="C1073" t="s">
        <v>58</v>
      </c>
      <c r="D1073">
        <v>2023</v>
      </c>
      <c r="E1073" t="s">
        <v>144</v>
      </c>
      <c r="F1073">
        <v>327</v>
      </c>
      <c r="G1073" t="s">
        <v>143</v>
      </c>
    </row>
    <row r="1074" spans="1:7" x14ac:dyDescent="0.35">
      <c r="A1074" t="s">
        <v>27</v>
      </c>
      <c r="B1074" t="s">
        <v>87</v>
      </c>
      <c r="C1074" t="s">
        <v>58</v>
      </c>
      <c r="D1074">
        <v>2024</v>
      </c>
      <c r="E1074" t="s">
        <v>60</v>
      </c>
      <c r="F1074">
        <v>68</v>
      </c>
      <c r="G1074" t="s">
        <v>143</v>
      </c>
    </row>
    <row r="1075" spans="1:7" x14ac:dyDescent="0.35">
      <c r="A1075" t="s">
        <v>27</v>
      </c>
      <c r="B1075" t="s">
        <v>87</v>
      </c>
      <c r="C1075" t="s">
        <v>58</v>
      </c>
      <c r="D1075">
        <v>2024</v>
      </c>
      <c r="E1075" t="s">
        <v>61</v>
      </c>
      <c r="F1075">
        <v>96</v>
      </c>
      <c r="G1075" t="s">
        <v>143</v>
      </c>
    </row>
    <row r="1076" spans="1:7" x14ac:dyDescent="0.35">
      <c r="A1076" t="s">
        <v>27</v>
      </c>
      <c r="B1076" t="s">
        <v>87</v>
      </c>
      <c r="C1076" t="s">
        <v>58</v>
      </c>
      <c r="D1076">
        <v>2024</v>
      </c>
      <c r="E1076" t="s">
        <v>63</v>
      </c>
      <c r="F1076">
        <v>228</v>
      </c>
      <c r="G1076" t="s">
        <v>143</v>
      </c>
    </row>
    <row r="1077" spans="1:7" x14ac:dyDescent="0.35">
      <c r="A1077" t="s">
        <v>27</v>
      </c>
      <c r="B1077" t="s">
        <v>87</v>
      </c>
      <c r="C1077" t="s">
        <v>58</v>
      </c>
      <c r="D1077">
        <v>2024</v>
      </c>
      <c r="E1077" t="s">
        <v>144</v>
      </c>
      <c r="F1077">
        <v>323</v>
      </c>
      <c r="G1077" t="s">
        <v>143</v>
      </c>
    </row>
    <row r="1078" spans="1:7" x14ac:dyDescent="0.35">
      <c r="A1078" t="s">
        <v>27</v>
      </c>
      <c r="B1078" t="s">
        <v>87</v>
      </c>
      <c r="C1078" t="s">
        <v>58</v>
      </c>
      <c r="D1078">
        <v>2025</v>
      </c>
      <c r="E1078" t="s">
        <v>60</v>
      </c>
      <c r="F1078">
        <v>890</v>
      </c>
      <c r="G1078" t="s">
        <v>143</v>
      </c>
    </row>
    <row r="1079" spans="1:7" x14ac:dyDescent="0.35">
      <c r="A1079" t="s">
        <v>27</v>
      </c>
      <c r="B1079" t="s">
        <v>87</v>
      </c>
      <c r="C1079" t="s">
        <v>58</v>
      </c>
      <c r="D1079">
        <v>2025</v>
      </c>
      <c r="E1079" t="s">
        <v>61</v>
      </c>
      <c r="F1079">
        <v>403</v>
      </c>
      <c r="G1079" t="s">
        <v>143</v>
      </c>
    </row>
    <row r="1080" spans="1:7" x14ac:dyDescent="0.35">
      <c r="A1080" t="s">
        <v>27</v>
      </c>
      <c r="B1080" t="s">
        <v>87</v>
      </c>
      <c r="C1080" t="s">
        <v>58</v>
      </c>
      <c r="D1080">
        <v>2025</v>
      </c>
      <c r="E1080" t="s">
        <v>63</v>
      </c>
      <c r="F1080">
        <v>490</v>
      </c>
      <c r="G1080" t="s">
        <v>143</v>
      </c>
    </row>
    <row r="1081" spans="1:7" x14ac:dyDescent="0.35">
      <c r="A1081" t="s">
        <v>27</v>
      </c>
      <c r="B1081" t="s">
        <v>87</v>
      </c>
      <c r="C1081" t="s">
        <v>58</v>
      </c>
      <c r="D1081">
        <v>2025</v>
      </c>
      <c r="E1081" t="s">
        <v>144</v>
      </c>
      <c r="F1081">
        <v>632</v>
      </c>
      <c r="G1081" t="s">
        <v>143</v>
      </c>
    </row>
    <row r="1082" spans="1:7" x14ac:dyDescent="0.35">
      <c r="A1082" t="s">
        <v>27</v>
      </c>
      <c r="B1082" t="s">
        <v>87</v>
      </c>
      <c r="C1082" t="s">
        <v>58</v>
      </c>
      <c r="D1082">
        <v>2026</v>
      </c>
      <c r="E1082" t="s">
        <v>60</v>
      </c>
      <c r="F1082">
        <v>2489</v>
      </c>
      <c r="G1082" t="s">
        <v>143</v>
      </c>
    </row>
    <row r="1083" spans="1:7" x14ac:dyDescent="0.35">
      <c r="A1083" t="s">
        <v>27</v>
      </c>
      <c r="B1083" t="s">
        <v>87</v>
      </c>
      <c r="C1083" t="s">
        <v>59</v>
      </c>
      <c r="D1083">
        <v>2022</v>
      </c>
      <c r="E1083" t="s">
        <v>60</v>
      </c>
      <c r="F1083">
        <v>729</v>
      </c>
      <c r="G1083" t="s">
        <v>143</v>
      </c>
    </row>
    <row r="1084" spans="1:7" x14ac:dyDescent="0.35">
      <c r="A1084" t="s">
        <v>27</v>
      </c>
      <c r="B1084" t="s">
        <v>87</v>
      </c>
      <c r="C1084" t="s">
        <v>59</v>
      </c>
      <c r="D1084">
        <v>2022</v>
      </c>
      <c r="E1084" t="s">
        <v>61</v>
      </c>
      <c r="F1084">
        <v>954</v>
      </c>
      <c r="G1084" t="s">
        <v>143</v>
      </c>
    </row>
    <row r="1085" spans="1:7" x14ac:dyDescent="0.35">
      <c r="A1085" t="s">
        <v>27</v>
      </c>
      <c r="B1085" t="s">
        <v>87</v>
      </c>
      <c r="C1085" t="s">
        <v>59</v>
      </c>
      <c r="D1085">
        <v>2022</v>
      </c>
      <c r="E1085" t="s">
        <v>63</v>
      </c>
      <c r="F1085">
        <v>631</v>
      </c>
      <c r="G1085" t="s">
        <v>143</v>
      </c>
    </row>
    <row r="1086" spans="1:7" x14ac:dyDescent="0.35">
      <c r="A1086" t="s">
        <v>27</v>
      </c>
      <c r="B1086" t="s">
        <v>87</v>
      </c>
      <c r="C1086" t="s">
        <v>59</v>
      </c>
      <c r="D1086">
        <v>2022</v>
      </c>
      <c r="E1086" t="s">
        <v>144</v>
      </c>
      <c r="F1086">
        <v>342</v>
      </c>
      <c r="G1086" t="s">
        <v>143</v>
      </c>
    </row>
    <row r="1087" spans="1:7" x14ac:dyDescent="0.35">
      <c r="A1087" t="s">
        <v>27</v>
      </c>
      <c r="B1087" t="s">
        <v>87</v>
      </c>
      <c r="C1087" t="s">
        <v>59</v>
      </c>
      <c r="D1087">
        <v>2023</v>
      </c>
      <c r="E1087" t="s">
        <v>60</v>
      </c>
      <c r="F1087">
        <v>263</v>
      </c>
      <c r="G1087" t="s">
        <v>143</v>
      </c>
    </row>
    <row r="1088" spans="1:7" x14ac:dyDescent="0.35">
      <c r="A1088" t="s">
        <v>27</v>
      </c>
      <c r="B1088" t="s">
        <v>87</v>
      </c>
      <c r="C1088" t="s">
        <v>59</v>
      </c>
      <c r="D1088">
        <v>2023</v>
      </c>
      <c r="E1088" t="s">
        <v>61</v>
      </c>
      <c r="F1088">
        <v>105</v>
      </c>
      <c r="G1088" t="s">
        <v>143</v>
      </c>
    </row>
    <row r="1089" spans="1:7" x14ac:dyDescent="0.35">
      <c r="A1089" t="s">
        <v>27</v>
      </c>
      <c r="B1089" t="s">
        <v>87</v>
      </c>
      <c r="C1089" t="s">
        <v>59</v>
      </c>
      <c r="D1089">
        <v>2023</v>
      </c>
      <c r="E1089" t="s">
        <v>63</v>
      </c>
      <c r="F1089">
        <v>500</v>
      </c>
      <c r="G1089" t="s">
        <v>143</v>
      </c>
    </row>
    <row r="1090" spans="1:7" x14ac:dyDescent="0.35">
      <c r="A1090" t="s">
        <v>27</v>
      </c>
      <c r="B1090" t="s">
        <v>87</v>
      </c>
      <c r="C1090" t="s">
        <v>59</v>
      </c>
      <c r="D1090">
        <v>2023</v>
      </c>
      <c r="E1090" t="s">
        <v>144</v>
      </c>
      <c r="F1090">
        <v>24</v>
      </c>
      <c r="G1090" t="s">
        <v>143</v>
      </c>
    </row>
    <row r="1091" spans="1:7" x14ac:dyDescent="0.35">
      <c r="A1091" t="s">
        <v>27</v>
      </c>
      <c r="B1091" t="s">
        <v>87</v>
      </c>
      <c r="C1091" t="s">
        <v>59</v>
      </c>
      <c r="D1091">
        <v>2024</v>
      </c>
      <c r="E1091" t="s">
        <v>60</v>
      </c>
      <c r="F1091">
        <v>-139</v>
      </c>
      <c r="G1091" t="s">
        <v>143</v>
      </c>
    </row>
    <row r="1092" spans="1:7" x14ac:dyDescent="0.35">
      <c r="A1092" t="s">
        <v>27</v>
      </c>
      <c r="B1092" t="s">
        <v>87</v>
      </c>
      <c r="C1092" t="s">
        <v>59</v>
      </c>
      <c r="D1092">
        <v>2024</v>
      </c>
      <c r="E1092" t="s">
        <v>61</v>
      </c>
      <c r="F1092">
        <v>-647</v>
      </c>
      <c r="G1092" t="s">
        <v>143</v>
      </c>
    </row>
    <row r="1093" spans="1:7" x14ac:dyDescent="0.35">
      <c r="A1093" t="s">
        <v>27</v>
      </c>
      <c r="B1093" t="s">
        <v>87</v>
      </c>
      <c r="C1093" t="s">
        <v>59</v>
      </c>
      <c r="D1093">
        <v>2024</v>
      </c>
      <c r="E1093" t="s">
        <v>63</v>
      </c>
      <c r="F1093">
        <v>-390</v>
      </c>
      <c r="G1093" t="s">
        <v>143</v>
      </c>
    </row>
    <row r="1094" spans="1:7" x14ac:dyDescent="0.35">
      <c r="A1094" t="s">
        <v>27</v>
      </c>
      <c r="B1094" t="s">
        <v>87</v>
      </c>
      <c r="C1094" t="s">
        <v>59</v>
      </c>
      <c r="D1094">
        <v>2024</v>
      </c>
      <c r="E1094" t="s">
        <v>144</v>
      </c>
      <c r="F1094">
        <v>-792</v>
      </c>
      <c r="G1094" t="s">
        <v>143</v>
      </c>
    </row>
    <row r="1095" spans="1:7" x14ac:dyDescent="0.35">
      <c r="A1095" t="s">
        <v>27</v>
      </c>
      <c r="B1095" t="s">
        <v>87</v>
      </c>
      <c r="C1095" t="s">
        <v>59</v>
      </c>
      <c r="D1095">
        <v>2025</v>
      </c>
      <c r="E1095" t="s">
        <v>60</v>
      </c>
      <c r="F1095">
        <v>-436</v>
      </c>
      <c r="G1095" t="s">
        <v>143</v>
      </c>
    </row>
    <row r="1096" spans="1:7" x14ac:dyDescent="0.35">
      <c r="A1096" t="s">
        <v>27</v>
      </c>
      <c r="B1096" t="s">
        <v>87</v>
      </c>
      <c r="C1096" t="s">
        <v>59</v>
      </c>
      <c r="D1096">
        <v>2025</v>
      </c>
      <c r="E1096" t="s">
        <v>61</v>
      </c>
      <c r="F1096">
        <v>-492</v>
      </c>
      <c r="G1096" t="s">
        <v>143</v>
      </c>
    </row>
    <row r="1097" spans="1:7" x14ac:dyDescent="0.35">
      <c r="A1097" t="s">
        <v>27</v>
      </c>
      <c r="B1097" t="s">
        <v>87</v>
      </c>
      <c r="C1097" t="s">
        <v>59</v>
      </c>
      <c r="D1097">
        <v>2025</v>
      </c>
      <c r="E1097" t="s">
        <v>63</v>
      </c>
      <c r="F1097">
        <v>-470</v>
      </c>
      <c r="G1097" t="s">
        <v>143</v>
      </c>
    </row>
    <row r="1098" spans="1:7" x14ac:dyDescent="0.35">
      <c r="A1098" t="s">
        <v>27</v>
      </c>
      <c r="B1098" t="s">
        <v>87</v>
      </c>
      <c r="C1098" t="s">
        <v>59</v>
      </c>
      <c r="D1098">
        <v>2025</v>
      </c>
      <c r="E1098" t="s">
        <v>144</v>
      </c>
      <c r="F1098">
        <v>-753</v>
      </c>
      <c r="G1098" t="s">
        <v>143</v>
      </c>
    </row>
    <row r="1099" spans="1:7" x14ac:dyDescent="0.35">
      <c r="A1099" t="s">
        <v>27</v>
      </c>
      <c r="B1099" t="s">
        <v>87</v>
      </c>
      <c r="C1099" t="s">
        <v>59</v>
      </c>
      <c r="D1099">
        <v>2026</v>
      </c>
      <c r="E1099" t="s">
        <v>60</v>
      </c>
      <c r="F1099">
        <v>-945</v>
      </c>
      <c r="G1099" t="s">
        <v>143</v>
      </c>
    </row>
    <row r="1100" spans="1:7" x14ac:dyDescent="0.35">
      <c r="A1100" t="s">
        <v>28</v>
      </c>
      <c r="B1100" t="s">
        <v>28</v>
      </c>
      <c r="C1100" t="s">
        <v>57</v>
      </c>
      <c r="D1100">
        <v>2022</v>
      </c>
      <c r="E1100" t="s">
        <v>60</v>
      </c>
      <c r="F1100">
        <v>221</v>
      </c>
      <c r="G1100" t="s">
        <v>143</v>
      </c>
    </row>
    <row r="1101" spans="1:7" x14ac:dyDescent="0.35">
      <c r="A1101" t="s">
        <v>28</v>
      </c>
      <c r="B1101" t="s">
        <v>28</v>
      </c>
      <c r="C1101" t="s">
        <v>57</v>
      </c>
      <c r="D1101">
        <v>2022</v>
      </c>
      <c r="E1101" t="s">
        <v>61</v>
      </c>
      <c r="F1101">
        <v>259</v>
      </c>
      <c r="G1101" t="s">
        <v>143</v>
      </c>
    </row>
    <row r="1102" spans="1:7" x14ac:dyDescent="0.35">
      <c r="A1102" t="s">
        <v>28</v>
      </c>
      <c r="B1102" t="s">
        <v>28</v>
      </c>
      <c r="C1102" t="s">
        <v>57</v>
      </c>
      <c r="D1102">
        <v>2022</v>
      </c>
      <c r="E1102" t="s">
        <v>63</v>
      </c>
      <c r="F1102">
        <v>253</v>
      </c>
      <c r="G1102" t="s">
        <v>143</v>
      </c>
    </row>
    <row r="1103" spans="1:7" x14ac:dyDescent="0.35">
      <c r="A1103" t="s">
        <v>28</v>
      </c>
      <c r="B1103" t="s">
        <v>28</v>
      </c>
      <c r="C1103" t="s">
        <v>57</v>
      </c>
      <c r="D1103">
        <v>2022</v>
      </c>
      <c r="E1103" t="s">
        <v>144</v>
      </c>
      <c r="F1103">
        <v>271</v>
      </c>
      <c r="G1103" t="s">
        <v>143</v>
      </c>
    </row>
    <row r="1104" spans="1:7" x14ac:dyDescent="0.35">
      <c r="A1104" t="s">
        <v>28</v>
      </c>
      <c r="B1104" t="s">
        <v>28</v>
      </c>
      <c r="C1104" t="s">
        <v>57</v>
      </c>
      <c r="D1104">
        <v>2023</v>
      </c>
      <c r="E1104" t="s">
        <v>60</v>
      </c>
      <c r="F1104">
        <v>265</v>
      </c>
      <c r="G1104" t="s">
        <v>143</v>
      </c>
    </row>
    <row r="1105" spans="1:7" x14ac:dyDescent="0.35">
      <c r="A1105" t="s">
        <v>28</v>
      </c>
      <c r="B1105" t="s">
        <v>28</v>
      </c>
      <c r="C1105" t="s">
        <v>57</v>
      </c>
      <c r="D1105">
        <v>2023</v>
      </c>
      <c r="E1105" t="s">
        <v>61</v>
      </c>
      <c r="F1105">
        <v>296</v>
      </c>
      <c r="G1105" t="s">
        <v>143</v>
      </c>
    </row>
    <row r="1106" spans="1:7" x14ac:dyDescent="0.35">
      <c r="A1106" t="s">
        <v>28</v>
      </c>
      <c r="B1106" t="s">
        <v>28</v>
      </c>
      <c r="C1106" t="s">
        <v>57</v>
      </c>
      <c r="D1106">
        <v>2023</v>
      </c>
      <c r="E1106" t="s">
        <v>63</v>
      </c>
      <c r="F1106">
        <v>278</v>
      </c>
      <c r="G1106" t="s">
        <v>143</v>
      </c>
    </row>
    <row r="1107" spans="1:7" x14ac:dyDescent="0.35">
      <c r="A1107" t="s">
        <v>28</v>
      </c>
      <c r="B1107" t="s">
        <v>28</v>
      </c>
      <c r="C1107" t="s">
        <v>57</v>
      </c>
      <c r="D1107">
        <v>2023</v>
      </c>
      <c r="E1107" t="s">
        <v>144</v>
      </c>
      <c r="F1107">
        <v>336</v>
      </c>
      <c r="G1107" t="s">
        <v>143</v>
      </c>
    </row>
    <row r="1108" spans="1:7" x14ac:dyDescent="0.35">
      <c r="A1108" t="s">
        <v>28</v>
      </c>
      <c r="B1108" t="s">
        <v>28</v>
      </c>
      <c r="C1108" t="s">
        <v>57</v>
      </c>
      <c r="D1108">
        <v>2024</v>
      </c>
      <c r="E1108" t="s">
        <v>60</v>
      </c>
      <c r="F1108">
        <v>288</v>
      </c>
      <c r="G1108" t="s">
        <v>143</v>
      </c>
    </row>
    <row r="1109" spans="1:7" x14ac:dyDescent="0.35">
      <c r="A1109" t="s">
        <v>28</v>
      </c>
      <c r="B1109" t="s">
        <v>28</v>
      </c>
      <c r="C1109" t="s">
        <v>57</v>
      </c>
      <c r="D1109">
        <v>2024</v>
      </c>
      <c r="E1109" t="s">
        <v>61</v>
      </c>
      <c r="F1109">
        <v>283</v>
      </c>
      <c r="G1109" t="s">
        <v>143</v>
      </c>
    </row>
    <row r="1110" spans="1:7" x14ac:dyDescent="0.35">
      <c r="A1110" t="s">
        <v>28</v>
      </c>
      <c r="B1110" t="s">
        <v>28</v>
      </c>
      <c r="C1110" t="s">
        <v>57</v>
      </c>
      <c r="D1110">
        <v>2024</v>
      </c>
      <c r="E1110" t="s">
        <v>63</v>
      </c>
      <c r="F1110">
        <v>295</v>
      </c>
      <c r="G1110" t="s">
        <v>143</v>
      </c>
    </row>
    <row r="1111" spans="1:7" x14ac:dyDescent="0.35">
      <c r="A1111" t="s">
        <v>28</v>
      </c>
      <c r="B1111" t="s">
        <v>28</v>
      </c>
      <c r="C1111" t="s">
        <v>57</v>
      </c>
      <c r="D1111">
        <v>2024</v>
      </c>
      <c r="E1111" t="s">
        <v>144</v>
      </c>
      <c r="F1111">
        <v>383</v>
      </c>
      <c r="G1111" t="s">
        <v>143</v>
      </c>
    </row>
    <row r="1112" spans="1:7" x14ac:dyDescent="0.35">
      <c r="A1112" t="s">
        <v>28</v>
      </c>
      <c r="B1112" t="s">
        <v>28</v>
      </c>
      <c r="C1112" t="s">
        <v>57</v>
      </c>
      <c r="D1112">
        <v>2025</v>
      </c>
      <c r="E1112" t="s">
        <v>60</v>
      </c>
      <c r="F1112">
        <v>309</v>
      </c>
      <c r="G1112" t="s">
        <v>143</v>
      </c>
    </row>
    <row r="1113" spans="1:7" x14ac:dyDescent="0.35">
      <c r="A1113" t="s">
        <v>28</v>
      </c>
      <c r="B1113" t="s">
        <v>28</v>
      </c>
      <c r="C1113" t="s">
        <v>57</v>
      </c>
      <c r="D1113">
        <v>2025</v>
      </c>
      <c r="E1113" t="s">
        <v>61</v>
      </c>
      <c r="F1113">
        <v>354</v>
      </c>
      <c r="G1113" t="s">
        <v>143</v>
      </c>
    </row>
    <row r="1114" spans="1:7" x14ac:dyDescent="0.35">
      <c r="A1114" t="s">
        <v>28</v>
      </c>
      <c r="B1114" t="s">
        <v>28</v>
      </c>
      <c r="C1114" t="s">
        <v>57</v>
      </c>
      <c r="D1114">
        <v>2025</v>
      </c>
      <c r="E1114" t="s">
        <v>63</v>
      </c>
      <c r="F1114">
        <v>358</v>
      </c>
      <c r="G1114" t="s">
        <v>143</v>
      </c>
    </row>
    <row r="1115" spans="1:7" x14ac:dyDescent="0.35">
      <c r="A1115" t="s">
        <v>28</v>
      </c>
      <c r="B1115" t="s">
        <v>28</v>
      </c>
      <c r="C1115" t="s">
        <v>57</v>
      </c>
      <c r="D1115">
        <v>2025</v>
      </c>
      <c r="E1115" t="s">
        <v>144</v>
      </c>
      <c r="F1115">
        <v>517</v>
      </c>
      <c r="G1115" t="s">
        <v>143</v>
      </c>
    </row>
    <row r="1116" spans="1:7" x14ac:dyDescent="0.35">
      <c r="A1116" t="s">
        <v>28</v>
      </c>
      <c r="B1116" t="s">
        <v>28</v>
      </c>
      <c r="C1116" t="s">
        <v>57</v>
      </c>
      <c r="D1116">
        <v>2026</v>
      </c>
      <c r="E1116" t="s">
        <v>60</v>
      </c>
      <c r="F1116">
        <v>342</v>
      </c>
      <c r="G1116" t="s">
        <v>143</v>
      </c>
    </row>
    <row r="1117" spans="1:7" x14ac:dyDescent="0.35">
      <c r="A1117" t="s">
        <v>28</v>
      </c>
      <c r="B1117" t="s">
        <v>28</v>
      </c>
      <c r="C1117" t="s">
        <v>59</v>
      </c>
      <c r="D1117">
        <v>2022</v>
      </c>
      <c r="E1117" t="s">
        <v>60</v>
      </c>
      <c r="F1117">
        <v>171</v>
      </c>
      <c r="G1117" t="s">
        <v>143</v>
      </c>
    </row>
    <row r="1118" spans="1:7" x14ac:dyDescent="0.35">
      <c r="A1118" t="s">
        <v>28</v>
      </c>
      <c r="B1118" t="s">
        <v>28</v>
      </c>
      <c r="C1118" t="s">
        <v>59</v>
      </c>
      <c r="D1118">
        <v>2022</v>
      </c>
      <c r="E1118" t="s">
        <v>61</v>
      </c>
      <c r="F1118">
        <v>165</v>
      </c>
      <c r="G1118" t="s">
        <v>143</v>
      </c>
    </row>
    <row r="1119" spans="1:7" x14ac:dyDescent="0.35">
      <c r="A1119" t="s">
        <v>28</v>
      </c>
      <c r="B1119" t="s">
        <v>28</v>
      </c>
      <c r="C1119" t="s">
        <v>59</v>
      </c>
      <c r="D1119">
        <v>2022</v>
      </c>
      <c r="E1119" t="s">
        <v>63</v>
      </c>
      <c r="F1119">
        <v>155</v>
      </c>
      <c r="G1119" t="s">
        <v>143</v>
      </c>
    </row>
    <row r="1120" spans="1:7" x14ac:dyDescent="0.35">
      <c r="A1120" t="s">
        <v>28</v>
      </c>
      <c r="B1120" t="s">
        <v>28</v>
      </c>
      <c r="C1120" t="s">
        <v>59</v>
      </c>
      <c r="D1120">
        <v>2022</v>
      </c>
      <c r="E1120" t="s">
        <v>144</v>
      </c>
      <c r="F1120">
        <v>159</v>
      </c>
      <c r="G1120" t="s">
        <v>143</v>
      </c>
    </row>
    <row r="1121" spans="1:7" x14ac:dyDescent="0.35">
      <c r="A1121" t="s">
        <v>28</v>
      </c>
      <c r="B1121" t="s">
        <v>28</v>
      </c>
      <c r="C1121" t="s">
        <v>59</v>
      </c>
      <c r="D1121">
        <v>2023</v>
      </c>
      <c r="E1121" t="s">
        <v>60</v>
      </c>
      <c r="F1121">
        <v>104</v>
      </c>
      <c r="G1121" t="s">
        <v>143</v>
      </c>
    </row>
    <row r="1122" spans="1:7" x14ac:dyDescent="0.35">
      <c r="A1122" t="s">
        <v>28</v>
      </c>
      <c r="B1122" t="s">
        <v>28</v>
      </c>
      <c r="C1122" t="s">
        <v>59</v>
      </c>
      <c r="D1122">
        <v>2023</v>
      </c>
      <c r="E1122" t="s">
        <v>61</v>
      </c>
      <c r="F1122">
        <v>124</v>
      </c>
      <c r="G1122" t="s">
        <v>143</v>
      </c>
    </row>
    <row r="1123" spans="1:7" x14ac:dyDescent="0.35">
      <c r="A1123" t="s">
        <v>28</v>
      </c>
      <c r="B1123" t="s">
        <v>28</v>
      </c>
      <c r="C1123" t="s">
        <v>59</v>
      </c>
      <c r="D1123">
        <v>2023</v>
      </c>
      <c r="E1123" t="s">
        <v>63</v>
      </c>
      <c r="F1123">
        <v>92</v>
      </c>
      <c r="G1123" t="s">
        <v>143</v>
      </c>
    </row>
    <row r="1124" spans="1:7" x14ac:dyDescent="0.35">
      <c r="A1124" t="s">
        <v>28</v>
      </c>
      <c r="B1124" t="s">
        <v>28</v>
      </c>
      <c r="C1124" t="s">
        <v>59</v>
      </c>
      <c r="D1124">
        <v>2023</v>
      </c>
      <c r="E1124" t="s">
        <v>144</v>
      </c>
      <c r="F1124">
        <v>87</v>
      </c>
      <c r="G1124" t="s">
        <v>143</v>
      </c>
    </row>
    <row r="1125" spans="1:7" x14ac:dyDescent="0.35">
      <c r="A1125" t="s">
        <v>28</v>
      </c>
      <c r="B1125" t="s">
        <v>28</v>
      </c>
      <c r="C1125" t="s">
        <v>59</v>
      </c>
      <c r="D1125">
        <v>2024</v>
      </c>
      <c r="E1125" t="s">
        <v>60</v>
      </c>
      <c r="F1125">
        <v>102</v>
      </c>
      <c r="G1125" t="s">
        <v>143</v>
      </c>
    </row>
    <row r="1126" spans="1:7" x14ac:dyDescent="0.35">
      <c r="A1126" t="s">
        <v>28</v>
      </c>
      <c r="B1126" t="s">
        <v>28</v>
      </c>
      <c r="C1126" t="s">
        <v>59</v>
      </c>
      <c r="D1126">
        <v>2024</v>
      </c>
      <c r="E1126" t="s">
        <v>61</v>
      </c>
      <c r="F1126">
        <v>109</v>
      </c>
      <c r="G1126" t="s">
        <v>143</v>
      </c>
    </row>
    <row r="1127" spans="1:7" x14ac:dyDescent="0.35">
      <c r="A1127" t="s">
        <v>28</v>
      </c>
      <c r="B1127" t="s">
        <v>28</v>
      </c>
      <c r="C1127" t="s">
        <v>59</v>
      </c>
      <c r="D1127">
        <v>2024</v>
      </c>
      <c r="E1127" t="s">
        <v>63</v>
      </c>
      <c r="F1127">
        <v>455</v>
      </c>
      <c r="G1127" t="s">
        <v>143</v>
      </c>
    </row>
    <row r="1128" spans="1:7" x14ac:dyDescent="0.35">
      <c r="A1128" t="s">
        <v>28</v>
      </c>
      <c r="B1128" t="s">
        <v>28</v>
      </c>
      <c r="C1128" t="s">
        <v>59</v>
      </c>
      <c r="D1128">
        <v>2024</v>
      </c>
      <c r="E1128" t="s">
        <v>144</v>
      </c>
      <c r="F1128">
        <v>551</v>
      </c>
      <c r="G1128" t="s">
        <v>143</v>
      </c>
    </row>
    <row r="1129" spans="1:7" x14ac:dyDescent="0.35">
      <c r="A1129" t="s">
        <v>28</v>
      </c>
      <c r="B1129" t="s">
        <v>28</v>
      </c>
      <c r="C1129" t="s">
        <v>59</v>
      </c>
      <c r="D1129">
        <v>2025</v>
      </c>
      <c r="E1129" t="s">
        <v>60</v>
      </c>
      <c r="F1129">
        <v>542</v>
      </c>
      <c r="G1129" t="s">
        <v>143</v>
      </c>
    </row>
    <row r="1130" spans="1:7" x14ac:dyDescent="0.35">
      <c r="A1130" t="s">
        <v>28</v>
      </c>
      <c r="B1130" t="s">
        <v>28</v>
      </c>
      <c r="C1130" t="s">
        <v>59</v>
      </c>
      <c r="D1130">
        <v>2025</v>
      </c>
      <c r="E1130" t="s">
        <v>61</v>
      </c>
      <c r="F1130">
        <v>533</v>
      </c>
      <c r="G1130" t="s">
        <v>143</v>
      </c>
    </row>
    <row r="1131" spans="1:7" x14ac:dyDescent="0.35">
      <c r="A1131" t="s">
        <v>28</v>
      </c>
      <c r="B1131" t="s">
        <v>28</v>
      </c>
      <c r="C1131" t="s">
        <v>59</v>
      </c>
      <c r="D1131">
        <v>2025</v>
      </c>
      <c r="E1131" t="s">
        <v>63</v>
      </c>
      <c r="F1131">
        <v>465</v>
      </c>
      <c r="G1131" t="s">
        <v>143</v>
      </c>
    </row>
    <row r="1132" spans="1:7" x14ac:dyDescent="0.35">
      <c r="A1132" t="s">
        <v>28</v>
      </c>
      <c r="B1132" t="s">
        <v>28</v>
      </c>
      <c r="C1132" t="s">
        <v>59</v>
      </c>
      <c r="D1132">
        <v>2025</v>
      </c>
      <c r="E1132" t="s">
        <v>144</v>
      </c>
      <c r="F1132">
        <v>423</v>
      </c>
      <c r="G1132" t="s">
        <v>143</v>
      </c>
    </row>
    <row r="1133" spans="1:7" x14ac:dyDescent="0.35">
      <c r="A1133" t="s">
        <v>28</v>
      </c>
      <c r="B1133" t="s">
        <v>28</v>
      </c>
      <c r="C1133" t="s">
        <v>59</v>
      </c>
      <c r="D1133">
        <v>2026</v>
      </c>
      <c r="E1133" t="s">
        <v>60</v>
      </c>
      <c r="F1133">
        <v>417</v>
      </c>
      <c r="G1133" t="s">
        <v>143</v>
      </c>
    </row>
    <row r="1134" spans="1:7" x14ac:dyDescent="0.35">
      <c r="A1134" t="s">
        <v>29</v>
      </c>
      <c r="B1134" t="s">
        <v>88</v>
      </c>
      <c r="C1134" t="s">
        <v>57</v>
      </c>
      <c r="D1134">
        <v>2022</v>
      </c>
      <c r="E1134" t="s">
        <v>60</v>
      </c>
      <c r="F1134">
        <v>2791</v>
      </c>
      <c r="G1134" t="s">
        <v>143</v>
      </c>
    </row>
    <row r="1135" spans="1:7" x14ac:dyDescent="0.35">
      <c r="A1135" t="s">
        <v>29</v>
      </c>
      <c r="B1135" t="s">
        <v>88</v>
      </c>
      <c r="C1135" t="s">
        <v>57</v>
      </c>
      <c r="D1135">
        <v>2022</v>
      </c>
      <c r="E1135" t="s">
        <v>61</v>
      </c>
      <c r="F1135">
        <v>2675</v>
      </c>
      <c r="G1135" t="s">
        <v>143</v>
      </c>
    </row>
    <row r="1136" spans="1:7" x14ac:dyDescent="0.35">
      <c r="A1136" t="s">
        <v>29</v>
      </c>
      <c r="B1136" t="s">
        <v>88</v>
      </c>
      <c r="C1136" t="s">
        <v>57</v>
      </c>
      <c r="D1136">
        <v>2022</v>
      </c>
      <c r="E1136" t="s">
        <v>63</v>
      </c>
      <c r="F1136">
        <v>1910</v>
      </c>
      <c r="G1136" t="s">
        <v>143</v>
      </c>
    </row>
    <row r="1137" spans="1:7" x14ac:dyDescent="0.35">
      <c r="A1137" t="s">
        <v>29</v>
      </c>
      <c r="B1137" t="s">
        <v>88</v>
      </c>
      <c r="C1137" t="s">
        <v>57</v>
      </c>
      <c r="D1137">
        <v>2022</v>
      </c>
      <c r="E1137" t="s">
        <v>144</v>
      </c>
      <c r="F1137">
        <v>2269</v>
      </c>
      <c r="G1137" t="s">
        <v>143</v>
      </c>
    </row>
    <row r="1138" spans="1:7" x14ac:dyDescent="0.35">
      <c r="A1138" t="s">
        <v>29</v>
      </c>
      <c r="B1138" t="s">
        <v>88</v>
      </c>
      <c r="C1138" t="s">
        <v>57</v>
      </c>
      <c r="D1138">
        <v>2023</v>
      </c>
      <c r="E1138" t="s">
        <v>60</v>
      </c>
      <c r="F1138">
        <v>2220</v>
      </c>
      <c r="G1138" t="s">
        <v>143</v>
      </c>
    </row>
    <row r="1139" spans="1:7" x14ac:dyDescent="0.35">
      <c r="A1139" t="s">
        <v>29</v>
      </c>
      <c r="B1139" t="s">
        <v>88</v>
      </c>
      <c r="C1139" t="s">
        <v>57</v>
      </c>
      <c r="D1139">
        <v>2023</v>
      </c>
      <c r="E1139" t="s">
        <v>61</v>
      </c>
      <c r="F1139">
        <v>1962</v>
      </c>
      <c r="G1139" t="s">
        <v>143</v>
      </c>
    </row>
    <row r="1140" spans="1:7" x14ac:dyDescent="0.35">
      <c r="A1140" t="s">
        <v>29</v>
      </c>
      <c r="B1140" t="s">
        <v>88</v>
      </c>
      <c r="C1140" t="s">
        <v>57</v>
      </c>
      <c r="D1140">
        <v>2023</v>
      </c>
      <c r="E1140" t="s">
        <v>63</v>
      </c>
      <c r="F1140">
        <v>1757</v>
      </c>
      <c r="G1140" t="s">
        <v>143</v>
      </c>
    </row>
    <row r="1141" spans="1:7" x14ac:dyDescent="0.35">
      <c r="A1141" t="s">
        <v>29</v>
      </c>
      <c r="B1141" t="s">
        <v>88</v>
      </c>
      <c r="C1141" t="s">
        <v>57</v>
      </c>
      <c r="D1141">
        <v>2023</v>
      </c>
      <c r="E1141" t="s">
        <v>144</v>
      </c>
      <c r="F1141">
        <v>1569</v>
      </c>
      <c r="G1141" t="s">
        <v>143</v>
      </c>
    </row>
    <row r="1142" spans="1:7" x14ac:dyDescent="0.35">
      <c r="A1142" t="s">
        <v>29</v>
      </c>
      <c r="B1142" t="s">
        <v>88</v>
      </c>
      <c r="C1142" t="s">
        <v>57</v>
      </c>
      <c r="D1142">
        <v>2024</v>
      </c>
      <c r="E1142" t="s">
        <v>60</v>
      </c>
      <c r="F1142">
        <v>1935</v>
      </c>
      <c r="G1142" t="s">
        <v>143</v>
      </c>
    </row>
    <row r="1143" spans="1:7" x14ac:dyDescent="0.35">
      <c r="A1143" t="s">
        <v>29</v>
      </c>
      <c r="B1143" t="s">
        <v>88</v>
      </c>
      <c r="C1143" t="s">
        <v>57</v>
      </c>
      <c r="D1143">
        <v>2024</v>
      </c>
      <c r="E1143" t="s">
        <v>61</v>
      </c>
      <c r="F1143">
        <v>2473</v>
      </c>
      <c r="G1143" t="s">
        <v>143</v>
      </c>
    </row>
    <row r="1144" spans="1:7" x14ac:dyDescent="0.35">
      <c r="A1144" t="s">
        <v>29</v>
      </c>
      <c r="B1144" t="s">
        <v>88</v>
      </c>
      <c r="C1144" t="s">
        <v>57</v>
      </c>
      <c r="D1144">
        <v>2024</v>
      </c>
      <c r="E1144" t="s">
        <v>63</v>
      </c>
      <c r="F1144">
        <v>2127</v>
      </c>
      <c r="G1144" t="s">
        <v>143</v>
      </c>
    </row>
    <row r="1145" spans="1:7" x14ac:dyDescent="0.35">
      <c r="A1145" t="s">
        <v>29</v>
      </c>
      <c r="B1145" t="s">
        <v>88</v>
      </c>
      <c r="C1145" t="s">
        <v>57</v>
      </c>
      <c r="D1145">
        <v>2024</v>
      </c>
      <c r="E1145" t="s">
        <v>144</v>
      </c>
      <c r="F1145">
        <v>2325</v>
      </c>
      <c r="G1145" t="s">
        <v>143</v>
      </c>
    </row>
    <row r="1146" spans="1:7" x14ac:dyDescent="0.35">
      <c r="A1146" t="s">
        <v>29</v>
      </c>
      <c r="B1146" t="s">
        <v>88</v>
      </c>
      <c r="C1146" t="s">
        <v>57</v>
      </c>
      <c r="D1146">
        <v>2025</v>
      </c>
      <c r="E1146" t="s">
        <v>60</v>
      </c>
      <c r="F1146">
        <v>2324</v>
      </c>
      <c r="G1146" t="s">
        <v>143</v>
      </c>
    </row>
    <row r="1147" spans="1:7" x14ac:dyDescent="0.35">
      <c r="A1147" t="s">
        <v>29</v>
      </c>
      <c r="B1147" t="s">
        <v>88</v>
      </c>
      <c r="C1147" t="s">
        <v>57</v>
      </c>
      <c r="D1147">
        <v>2025</v>
      </c>
      <c r="E1147" t="s">
        <v>61</v>
      </c>
      <c r="F1147">
        <v>2098</v>
      </c>
      <c r="G1147" t="s">
        <v>143</v>
      </c>
    </row>
    <row r="1148" spans="1:7" x14ac:dyDescent="0.35">
      <c r="A1148" t="s">
        <v>29</v>
      </c>
      <c r="B1148" t="s">
        <v>88</v>
      </c>
      <c r="C1148" t="s">
        <v>57</v>
      </c>
      <c r="D1148">
        <v>2025</v>
      </c>
      <c r="E1148" t="s">
        <v>63</v>
      </c>
      <c r="F1148">
        <v>2998</v>
      </c>
      <c r="G1148" t="s">
        <v>143</v>
      </c>
    </row>
    <row r="1149" spans="1:7" x14ac:dyDescent="0.35">
      <c r="A1149" t="s">
        <v>29</v>
      </c>
      <c r="B1149" t="s">
        <v>88</v>
      </c>
      <c r="C1149" t="s">
        <v>57</v>
      </c>
      <c r="D1149">
        <v>2025</v>
      </c>
      <c r="E1149" t="s">
        <v>144</v>
      </c>
      <c r="F1149">
        <v>6274</v>
      </c>
      <c r="G1149" t="s">
        <v>143</v>
      </c>
    </row>
    <row r="1150" spans="1:7" x14ac:dyDescent="0.35">
      <c r="A1150" t="s">
        <v>29</v>
      </c>
      <c r="B1150" t="s">
        <v>88</v>
      </c>
      <c r="C1150" t="s">
        <v>57</v>
      </c>
      <c r="D1150">
        <v>2026</v>
      </c>
      <c r="E1150" t="s">
        <v>60</v>
      </c>
      <c r="F1150">
        <v>5753</v>
      </c>
      <c r="G1150" t="s">
        <v>143</v>
      </c>
    </row>
    <row r="1151" spans="1:7" x14ac:dyDescent="0.35">
      <c r="A1151" t="s">
        <v>29</v>
      </c>
      <c r="B1151" t="s">
        <v>88</v>
      </c>
      <c r="C1151" t="s">
        <v>58</v>
      </c>
      <c r="D1151">
        <v>2022</v>
      </c>
      <c r="E1151" t="s">
        <v>60</v>
      </c>
      <c r="F1151">
        <v>385</v>
      </c>
      <c r="G1151" t="s">
        <v>143</v>
      </c>
    </row>
    <row r="1152" spans="1:7" x14ac:dyDescent="0.35">
      <c r="A1152" t="s">
        <v>29</v>
      </c>
      <c r="B1152" t="s">
        <v>88</v>
      </c>
      <c r="C1152" t="s">
        <v>58</v>
      </c>
      <c r="D1152">
        <v>2022</v>
      </c>
      <c r="E1152" t="s">
        <v>61</v>
      </c>
      <c r="F1152">
        <v>571</v>
      </c>
      <c r="G1152" t="s">
        <v>143</v>
      </c>
    </row>
    <row r="1153" spans="1:7" x14ac:dyDescent="0.35">
      <c r="A1153" t="s">
        <v>29</v>
      </c>
      <c r="B1153" t="s">
        <v>88</v>
      </c>
      <c r="C1153" t="s">
        <v>58</v>
      </c>
      <c r="D1153">
        <v>2022</v>
      </c>
      <c r="E1153" t="s">
        <v>63</v>
      </c>
      <c r="F1153">
        <v>474</v>
      </c>
      <c r="G1153" t="s">
        <v>143</v>
      </c>
    </row>
    <row r="1154" spans="1:7" x14ac:dyDescent="0.35">
      <c r="A1154" t="s">
        <v>29</v>
      </c>
      <c r="B1154" t="s">
        <v>88</v>
      </c>
      <c r="C1154" t="s">
        <v>58</v>
      </c>
      <c r="D1154">
        <v>2022</v>
      </c>
      <c r="E1154" t="s">
        <v>144</v>
      </c>
      <c r="F1154">
        <v>744</v>
      </c>
      <c r="G1154" t="s">
        <v>143</v>
      </c>
    </row>
    <row r="1155" spans="1:7" x14ac:dyDescent="0.35">
      <c r="A1155" t="s">
        <v>29</v>
      </c>
      <c r="B1155" t="s">
        <v>88</v>
      </c>
      <c r="C1155" t="s">
        <v>58</v>
      </c>
      <c r="D1155">
        <v>2023</v>
      </c>
      <c r="E1155" t="s">
        <v>60</v>
      </c>
      <c r="F1155">
        <v>494</v>
      </c>
      <c r="G1155" t="s">
        <v>143</v>
      </c>
    </row>
    <row r="1156" spans="1:7" x14ac:dyDescent="0.35">
      <c r="A1156" t="s">
        <v>29</v>
      </c>
      <c r="B1156" t="s">
        <v>88</v>
      </c>
      <c r="C1156" t="s">
        <v>58</v>
      </c>
      <c r="D1156">
        <v>2023</v>
      </c>
      <c r="E1156" t="s">
        <v>61</v>
      </c>
      <c r="F1156">
        <v>668</v>
      </c>
      <c r="G1156" t="s">
        <v>143</v>
      </c>
    </row>
    <row r="1157" spans="1:7" x14ac:dyDescent="0.35">
      <c r="A1157" t="s">
        <v>29</v>
      </c>
      <c r="B1157" t="s">
        <v>88</v>
      </c>
      <c r="C1157" t="s">
        <v>58</v>
      </c>
      <c r="D1157">
        <v>2023</v>
      </c>
      <c r="E1157" t="s">
        <v>63</v>
      </c>
      <c r="F1157">
        <v>606</v>
      </c>
      <c r="G1157" t="s">
        <v>143</v>
      </c>
    </row>
    <row r="1158" spans="1:7" x14ac:dyDescent="0.35">
      <c r="A1158" t="s">
        <v>29</v>
      </c>
      <c r="B1158" t="s">
        <v>88</v>
      </c>
      <c r="C1158" t="s">
        <v>58</v>
      </c>
      <c r="D1158">
        <v>2023</v>
      </c>
      <c r="E1158" t="s">
        <v>144</v>
      </c>
      <c r="F1158">
        <v>984</v>
      </c>
      <c r="G1158" t="s">
        <v>143</v>
      </c>
    </row>
    <row r="1159" spans="1:7" x14ac:dyDescent="0.35">
      <c r="A1159" t="s">
        <v>29</v>
      </c>
      <c r="B1159" t="s">
        <v>88</v>
      </c>
      <c r="C1159" t="s">
        <v>58</v>
      </c>
      <c r="D1159">
        <v>2024</v>
      </c>
      <c r="E1159" t="s">
        <v>60</v>
      </c>
      <c r="F1159">
        <v>1332</v>
      </c>
      <c r="G1159" t="s">
        <v>143</v>
      </c>
    </row>
    <row r="1160" spans="1:7" x14ac:dyDescent="0.35">
      <c r="A1160" t="s">
        <v>29</v>
      </c>
      <c r="B1160" t="s">
        <v>88</v>
      </c>
      <c r="C1160" t="s">
        <v>58</v>
      </c>
      <c r="D1160">
        <v>2024</v>
      </c>
      <c r="E1160" t="s">
        <v>61</v>
      </c>
      <c r="F1160">
        <v>1352</v>
      </c>
      <c r="G1160" t="s">
        <v>143</v>
      </c>
    </row>
    <row r="1161" spans="1:7" x14ac:dyDescent="0.35">
      <c r="A1161" t="s">
        <v>29</v>
      </c>
      <c r="B1161" t="s">
        <v>88</v>
      </c>
      <c r="C1161" t="s">
        <v>58</v>
      </c>
      <c r="D1161">
        <v>2024</v>
      </c>
      <c r="E1161" t="s">
        <v>63</v>
      </c>
      <c r="F1161">
        <v>1575</v>
      </c>
      <c r="G1161" t="s">
        <v>143</v>
      </c>
    </row>
    <row r="1162" spans="1:7" x14ac:dyDescent="0.35">
      <c r="A1162" t="s">
        <v>29</v>
      </c>
      <c r="B1162" t="s">
        <v>88</v>
      </c>
      <c r="C1162" t="s">
        <v>58</v>
      </c>
      <c r="D1162">
        <v>2024</v>
      </c>
      <c r="E1162" t="s">
        <v>144</v>
      </c>
      <c r="F1162">
        <v>2993</v>
      </c>
      <c r="G1162" t="s">
        <v>143</v>
      </c>
    </row>
    <row r="1163" spans="1:7" x14ac:dyDescent="0.35">
      <c r="A1163" t="s">
        <v>29</v>
      </c>
      <c r="B1163" t="s">
        <v>88</v>
      </c>
      <c r="C1163" t="s">
        <v>58</v>
      </c>
      <c r="D1163">
        <v>2025</v>
      </c>
      <c r="E1163" t="s">
        <v>60</v>
      </c>
      <c r="F1163">
        <v>1504</v>
      </c>
      <c r="G1163" t="s">
        <v>143</v>
      </c>
    </row>
    <row r="1164" spans="1:7" x14ac:dyDescent="0.35">
      <c r="A1164" t="s">
        <v>29</v>
      </c>
      <c r="B1164" t="s">
        <v>88</v>
      </c>
      <c r="C1164" t="s">
        <v>58</v>
      </c>
      <c r="D1164">
        <v>2025</v>
      </c>
      <c r="E1164" t="s">
        <v>61</v>
      </c>
      <c r="F1164">
        <v>1382</v>
      </c>
      <c r="G1164" t="s">
        <v>143</v>
      </c>
    </row>
    <row r="1165" spans="1:7" x14ac:dyDescent="0.35">
      <c r="A1165" t="s">
        <v>29</v>
      </c>
      <c r="B1165" t="s">
        <v>88</v>
      </c>
      <c r="C1165" t="s">
        <v>58</v>
      </c>
      <c r="D1165">
        <v>2025</v>
      </c>
      <c r="E1165" t="s">
        <v>63</v>
      </c>
      <c r="F1165">
        <v>1480</v>
      </c>
      <c r="G1165" t="s">
        <v>143</v>
      </c>
    </row>
    <row r="1166" spans="1:7" x14ac:dyDescent="0.35">
      <c r="A1166" t="s">
        <v>29</v>
      </c>
      <c r="B1166" t="s">
        <v>88</v>
      </c>
      <c r="C1166" t="s">
        <v>58</v>
      </c>
      <c r="D1166">
        <v>2025</v>
      </c>
      <c r="E1166" t="s">
        <v>144</v>
      </c>
      <c r="F1166">
        <v>1583</v>
      </c>
      <c r="G1166" t="s">
        <v>143</v>
      </c>
    </row>
    <row r="1167" spans="1:7" x14ac:dyDescent="0.35">
      <c r="A1167" t="s">
        <v>29</v>
      </c>
      <c r="B1167" t="s">
        <v>88</v>
      </c>
      <c r="C1167" t="s">
        <v>58</v>
      </c>
      <c r="D1167">
        <v>2026</v>
      </c>
      <c r="E1167" t="s">
        <v>60</v>
      </c>
      <c r="F1167">
        <v>885</v>
      </c>
      <c r="G1167" t="s">
        <v>143</v>
      </c>
    </row>
    <row r="1168" spans="1:7" x14ac:dyDescent="0.35">
      <c r="A1168" t="s">
        <v>29</v>
      </c>
      <c r="B1168" t="s">
        <v>88</v>
      </c>
      <c r="C1168" t="s">
        <v>59</v>
      </c>
      <c r="D1168">
        <v>2022</v>
      </c>
      <c r="E1168" t="s">
        <v>60</v>
      </c>
      <c r="F1168">
        <v>4633</v>
      </c>
      <c r="G1168" t="s">
        <v>143</v>
      </c>
    </row>
    <row r="1169" spans="1:7" x14ac:dyDescent="0.35">
      <c r="A1169" t="s">
        <v>29</v>
      </c>
      <c r="B1169" t="s">
        <v>88</v>
      </c>
      <c r="C1169" t="s">
        <v>59</v>
      </c>
      <c r="D1169">
        <v>2022</v>
      </c>
      <c r="E1169" t="s">
        <v>61</v>
      </c>
      <c r="F1169">
        <v>4205</v>
      </c>
      <c r="G1169" t="s">
        <v>143</v>
      </c>
    </row>
    <row r="1170" spans="1:7" x14ac:dyDescent="0.35">
      <c r="A1170" t="s">
        <v>29</v>
      </c>
      <c r="B1170" t="s">
        <v>88</v>
      </c>
      <c r="C1170" t="s">
        <v>59</v>
      </c>
      <c r="D1170">
        <v>2022</v>
      </c>
      <c r="E1170" t="s">
        <v>63</v>
      </c>
      <c r="F1170">
        <v>4100</v>
      </c>
      <c r="G1170" t="s">
        <v>143</v>
      </c>
    </row>
    <row r="1171" spans="1:7" x14ac:dyDescent="0.35">
      <c r="A1171" t="s">
        <v>29</v>
      </c>
      <c r="B1171" t="s">
        <v>88</v>
      </c>
      <c r="C1171" t="s">
        <v>59</v>
      </c>
      <c r="D1171">
        <v>2022</v>
      </c>
      <c r="E1171" t="s">
        <v>144</v>
      </c>
      <c r="F1171">
        <v>4347</v>
      </c>
      <c r="G1171" t="s">
        <v>143</v>
      </c>
    </row>
    <row r="1172" spans="1:7" x14ac:dyDescent="0.35">
      <c r="A1172" t="s">
        <v>29</v>
      </c>
      <c r="B1172" t="s">
        <v>88</v>
      </c>
      <c r="C1172" t="s">
        <v>59</v>
      </c>
      <c r="D1172">
        <v>2023</v>
      </c>
      <c r="E1172" t="s">
        <v>60</v>
      </c>
      <c r="F1172">
        <v>4639</v>
      </c>
      <c r="G1172" t="s">
        <v>143</v>
      </c>
    </row>
    <row r="1173" spans="1:7" x14ac:dyDescent="0.35">
      <c r="A1173" t="s">
        <v>29</v>
      </c>
      <c r="B1173" t="s">
        <v>88</v>
      </c>
      <c r="C1173" t="s">
        <v>59</v>
      </c>
      <c r="D1173">
        <v>2023</v>
      </c>
      <c r="E1173" t="s">
        <v>61</v>
      </c>
      <c r="F1173">
        <v>6588</v>
      </c>
      <c r="G1173" t="s">
        <v>143</v>
      </c>
    </row>
    <row r="1174" spans="1:7" x14ac:dyDescent="0.35">
      <c r="A1174" t="s">
        <v>29</v>
      </c>
      <c r="B1174" t="s">
        <v>88</v>
      </c>
      <c r="C1174" t="s">
        <v>59</v>
      </c>
      <c r="D1174">
        <v>2023</v>
      </c>
      <c r="E1174" t="s">
        <v>63</v>
      </c>
      <c r="F1174">
        <v>7080</v>
      </c>
      <c r="G1174" t="s">
        <v>143</v>
      </c>
    </row>
    <row r="1175" spans="1:7" x14ac:dyDescent="0.35">
      <c r="A1175" t="s">
        <v>29</v>
      </c>
      <c r="B1175" t="s">
        <v>88</v>
      </c>
      <c r="C1175" t="s">
        <v>59</v>
      </c>
      <c r="D1175">
        <v>2023</v>
      </c>
      <c r="E1175" t="s">
        <v>144</v>
      </c>
      <c r="F1175">
        <v>7588</v>
      </c>
      <c r="G1175" t="s">
        <v>143</v>
      </c>
    </row>
    <row r="1176" spans="1:7" x14ac:dyDescent="0.35">
      <c r="A1176" t="s">
        <v>29</v>
      </c>
      <c r="B1176" t="s">
        <v>88</v>
      </c>
      <c r="C1176" t="s">
        <v>59</v>
      </c>
      <c r="D1176">
        <v>2024</v>
      </c>
      <c r="E1176" t="s">
        <v>60</v>
      </c>
      <c r="F1176">
        <v>8799</v>
      </c>
      <c r="G1176" t="s">
        <v>143</v>
      </c>
    </row>
    <row r="1177" spans="1:7" x14ac:dyDescent="0.35">
      <c r="A1177" t="s">
        <v>29</v>
      </c>
      <c r="B1177" t="s">
        <v>88</v>
      </c>
      <c r="C1177" t="s">
        <v>59</v>
      </c>
      <c r="D1177">
        <v>2024</v>
      </c>
      <c r="E1177" t="s">
        <v>61</v>
      </c>
      <c r="F1177">
        <v>7143</v>
      </c>
      <c r="G1177" t="s">
        <v>143</v>
      </c>
    </row>
    <row r="1178" spans="1:7" x14ac:dyDescent="0.35">
      <c r="A1178" t="s">
        <v>29</v>
      </c>
      <c r="B1178" t="s">
        <v>88</v>
      </c>
      <c r="C1178" t="s">
        <v>59</v>
      </c>
      <c r="D1178">
        <v>2024</v>
      </c>
      <c r="E1178" t="s">
        <v>63</v>
      </c>
      <c r="F1178">
        <v>9143</v>
      </c>
      <c r="G1178" t="s">
        <v>143</v>
      </c>
    </row>
    <row r="1179" spans="1:7" x14ac:dyDescent="0.35">
      <c r="A1179" t="s">
        <v>29</v>
      </c>
      <c r="B1179" t="s">
        <v>88</v>
      </c>
      <c r="C1179" t="s">
        <v>59</v>
      </c>
      <c r="D1179">
        <v>2024</v>
      </c>
      <c r="E1179" t="s">
        <v>144</v>
      </c>
      <c r="F1179">
        <v>10272</v>
      </c>
      <c r="G1179" t="s">
        <v>143</v>
      </c>
    </row>
    <row r="1180" spans="1:7" x14ac:dyDescent="0.35">
      <c r="A1180" t="s">
        <v>29</v>
      </c>
      <c r="B1180" t="s">
        <v>88</v>
      </c>
      <c r="C1180" t="s">
        <v>59</v>
      </c>
      <c r="D1180">
        <v>2025</v>
      </c>
      <c r="E1180" t="s">
        <v>60</v>
      </c>
      <c r="F1180">
        <v>11901</v>
      </c>
      <c r="G1180" t="s">
        <v>143</v>
      </c>
    </row>
    <row r="1181" spans="1:7" x14ac:dyDescent="0.35">
      <c r="A1181" t="s">
        <v>29</v>
      </c>
      <c r="B1181" t="s">
        <v>88</v>
      </c>
      <c r="C1181" t="s">
        <v>59</v>
      </c>
      <c r="D1181">
        <v>2025</v>
      </c>
      <c r="E1181" t="s">
        <v>61</v>
      </c>
      <c r="F1181">
        <v>14335</v>
      </c>
      <c r="G1181" t="s">
        <v>143</v>
      </c>
    </row>
    <row r="1182" spans="1:7" x14ac:dyDescent="0.35">
      <c r="A1182" t="s">
        <v>29</v>
      </c>
      <c r="B1182" t="s">
        <v>88</v>
      </c>
      <c r="C1182" t="s">
        <v>59</v>
      </c>
      <c r="D1182">
        <v>2025</v>
      </c>
      <c r="E1182" t="s">
        <v>63</v>
      </c>
      <c r="F1182">
        <v>15881</v>
      </c>
      <c r="G1182" t="s">
        <v>143</v>
      </c>
    </row>
    <row r="1183" spans="1:7" x14ac:dyDescent="0.35">
      <c r="A1183" t="s">
        <v>29</v>
      </c>
      <c r="B1183" t="s">
        <v>88</v>
      </c>
      <c r="C1183" t="s">
        <v>59</v>
      </c>
      <c r="D1183">
        <v>2025</v>
      </c>
      <c r="E1183" t="s">
        <v>144</v>
      </c>
      <c r="F1183">
        <v>12674</v>
      </c>
      <c r="G1183" t="s">
        <v>143</v>
      </c>
    </row>
    <row r="1184" spans="1:7" x14ac:dyDescent="0.35">
      <c r="A1184" t="s">
        <v>29</v>
      </c>
      <c r="B1184" t="s">
        <v>88</v>
      </c>
      <c r="C1184" t="s">
        <v>59</v>
      </c>
      <c r="D1184">
        <v>2026</v>
      </c>
      <c r="E1184" t="s">
        <v>60</v>
      </c>
      <c r="F1184">
        <v>11803</v>
      </c>
      <c r="G1184" t="s">
        <v>143</v>
      </c>
    </row>
    <row r="1185" spans="1:7" x14ac:dyDescent="0.35">
      <c r="A1185" t="s">
        <v>30</v>
      </c>
      <c r="B1185" t="s">
        <v>89</v>
      </c>
      <c r="C1185" t="s">
        <v>57</v>
      </c>
      <c r="D1185">
        <v>2022</v>
      </c>
      <c r="E1185" t="s">
        <v>60</v>
      </c>
      <c r="F1185">
        <v>77</v>
      </c>
      <c r="G1185" t="s">
        <v>143</v>
      </c>
    </row>
    <row r="1186" spans="1:7" x14ac:dyDescent="0.35">
      <c r="A1186" t="s">
        <v>30</v>
      </c>
      <c r="B1186" t="s">
        <v>89</v>
      </c>
      <c r="C1186" t="s">
        <v>57</v>
      </c>
      <c r="D1186">
        <v>2022</v>
      </c>
      <c r="E1186" t="s">
        <v>61</v>
      </c>
      <c r="F1186">
        <v>136</v>
      </c>
      <c r="G1186" t="s">
        <v>143</v>
      </c>
    </row>
    <row r="1187" spans="1:7" x14ac:dyDescent="0.35">
      <c r="A1187" t="s">
        <v>30</v>
      </c>
      <c r="B1187" t="s">
        <v>89</v>
      </c>
      <c r="C1187" t="s">
        <v>57</v>
      </c>
      <c r="D1187">
        <v>2022</v>
      </c>
      <c r="E1187" t="s">
        <v>63</v>
      </c>
      <c r="F1187">
        <v>172</v>
      </c>
      <c r="G1187" t="s">
        <v>143</v>
      </c>
    </row>
    <row r="1188" spans="1:7" x14ac:dyDescent="0.35">
      <c r="A1188" t="s">
        <v>30</v>
      </c>
      <c r="B1188" t="s">
        <v>89</v>
      </c>
      <c r="C1188" t="s">
        <v>57</v>
      </c>
      <c r="D1188">
        <v>2022</v>
      </c>
      <c r="E1188" t="s">
        <v>144</v>
      </c>
      <c r="F1188">
        <v>204</v>
      </c>
      <c r="G1188" t="s">
        <v>143</v>
      </c>
    </row>
    <row r="1189" spans="1:7" x14ac:dyDescent="0.35">
      <c r="A1189" t="s">
        <v>30</v>
      </c>
      <c r="B1189" t="s">
        <v>89</v>
      </c>
      <c r="C1189" t="s">
        <v>57</v>
      </c>
      <c r="D1189">
        <v>2023</v>
      </c>
      <c r="E1189" t="s">
        <v>60</v>
      </c>
      <c r="F1189">
        <v>131</v>
      </c>
      <c r="G1189" t="s">
        <v>143</v>
      </c>
    </row>
    <row r="1190" spans="1:7" x14ac:dyDescent="0.35">
      <c r="A1190" t="s">
        <v>30</v>
      </c>
      <c r="B1190" t="s">
        <v>89</v>
      </c>
      <c r="C1190" t="s">
        <v>57</v>
      </c>
      <c r="D1190">
        <v>2023</v>
      </c>
      <c r="E1190" t="s">
        <v>61</v>
      </c>
      <c r="F1190">
        <v>144</v>
      </c>
      <c r="G1190" t="s">
        <v>143</v>
      </c>
    </row>
    <row r="1191" spans="1:7" x14ac:dyDescent="0.35">
      <c r="A1191" t="s">
        <v>30</v>
      </c>
      <c r="B1191" t="s">
        <v>89</v>
      </c>
      <c r="C1191" t="s">
        <v>57</v>
      </c>
      <c r="D1191">
        <v>2023</v>
      </c>
      <c r="E1191" t="s">
        <v>63</v>
      </c>
      <c r="F1191">
        <v>162</v>
      </c>
      <c r="G1191" t="s">
        <v>143</v>
      </c>
    </row>
    <row r="1192" spans="1:7" x14ac:dyDescent="0.35">
      <c r="A1192" t="s">
        <v>30</v>
      </c>
      <c r="B1192" t="s">
        <v>89</v>
      </c>
      <c r="C1192" t="s">
        <v>57</v>
      </c>
      <c r="D1192">
        <v>2023</v>
      </c>
      <c r="E1192" t="s">
        <v>144</v>
      </c>
      <c r="F1192">
        <v>153</v>
      </c>
      <c r="G1192" t="s">
        <v>143</v>
      </c>
    </row>
    <row r="1193" spans="1:7" x14ac:dyDescent="0.35">
      <c r="A1193" t="s">
        <v>30</v>
      </c>
      <c r="B1193" t="s">
        <v>89</v>
      </c>
      <c r="C1193" t="s">
        <v>57</v>
      </c>
      <c r="D1193">
        <v>2024</v>
      </c>
      <c r="E1193" t="s">
        <v>60</v>
      </c>
      <c r="F1193">
        <v>140</v>
      </c>
      <c r="G1193" t="s">
        <v>143</v>
      </c>
    </row>
    <row r="1194" spans="1:7" x14ac:dyDescent="0.35">
      <c r="A1194" t="s">
        <v>30</v>
      </c>
      <c r="B1194" t="s">
        <v>89</v>
      </c>
      <c r="C1194" t="s">
        <v>57</v>
      </c>
      <c r="D1194">
        <v>2024</v>
      </c>
      <c r="E1194" t="s">
        <v>61</v>
      </c>
      <c r="F1194">
        <v>141</v>
      </c>
      <c r="G1194" t="s">
        <v>143</v>
      </c>
    </row>
    <row r="1195" spans="1:7" x14ac:dyDescent="0.35">
      <c r="A1195" t="s">
        <v>30</v>
      </c>
      <c r="B1195" t="s">
        <v>89</v>
      </c>
      <c r="C1195" t="s">
        <v>57</v>
      </c>
      <c r="D1195">
        <v>2024</v>
      </c>
      <c r="E1195" t="s">
        <v>63</v>
      </c>
      <c r="F1195">
        <v>173</v>
      </c>
      <c r="G1195" t="s">
        <v>143</v>
      </c>
    </row>
    <row r="1196" spans="1:7" x14ac:dyDescent="0.35">
      <c r="A1196" t="s">
        <v>30</v>
      </c>
      <c r="B1196" t="s">
        <v>89</v>
      </c>
      <c r="C1196" t="s">
        <v>57</v>
      </c>
      <c r="D1196">
        <v>2024</v>
      </c>
      <c r="E1196" t="s">
        <v>144</v>
      </c>
      <c r="F1196">
        <v>132</v>
      </c>
      <c r="G1196" t="s">
        <v>143</v>
      </c>
    </row>
    <row r="1197" spans="1:7" x14ac:dyDescent="0.35">
      <c r="A1197" t="s">
        <v>30</v>
      </c>
      <c r="B1197" t="s">
        <v>89</v>
      </c>
      <c r="C1197" t="s">
        <v>57</v>
      </c>
      <c r="D1197">
        <v>2025</v>
      </c>
      <c r="E1197" t="s">
        <v>60</v>
      </c>
      <c r="F1197">
        <v>169</v>
      </c>
      <c r="G1197" t="s">
        <v>143</v>
      </c>
    </row>
    <row r="1198" spans="1:7" x14ac:dyDescent="0.35">
      <c r="A1198" t="s">
        <v>30</v>
      </c>
      <c r="B1198" t="s">
        <v>89</v>
      </c>
      <c r="C1198" t="s">
        <v>57</v>
      </c>
      <c r="D1198">
        <v>2025</v>
      </c>
      <c r="E1198" t="s">
        <v>61</v>
      </c>
      <c r="F1198">
        <v>173</v>
      </c>
      <c r="G1198" t="s">
        <v>143</v>
      </c>
    </row>
    <row r="1199" spans="1:7" x14ac:dyDescent="0.35">
      <c r="A1199" t="s">
        <v>30</v>
      </c>
      <c r="B1199" t="s">
        <v>89</v>
      </c>
      <c r="C1199" t="s">
        <v>57</v>
      </c>
      <c r="D1199">
        <v>2025</v>
      </c>
      <c r="E1199" t="s">
        <v>63</v>
      </c>
      <c r="F1199">
        <v>180</v>
      </c>
      <c r="G1199" t="s">
        <v>143</v>
      </c>
    </row>
    <row r="1200" spans="1:7" x14ac:dyDescent="0.35">
      <c r="A1200" t="s">
        <v>30</v>
      </c>
      <c r="B1200" t="s">
        <v>89</v>
      </c>
      <c r="C1200" t="s">
        <v>57</v>
      </c>
      <c r="D1200">
        <v>2025</v>
      </c>
      <c r="E1200" t="s">
        <v>144</v>
      </c>
      <c r="F1200">
        <v>168</v>
      </c>
      <c r="G1200" t="s">
        <v>143</v>
      </c>
    </row>
    <row r="1201" spans="1:7" x14ac:dyDescent="0.35">
      <c r="A1201" t="s">
        <v>30</v>
      </c>
      <c r="B1201" t="s">
        <v>89</v>
      </c>
      <c r="C1201" t="s">
        <v>57</v>
      </c>
      <c r="D1201">
        <v>2026</v>
      </c>
      <c r="E1201" t="s">
        <v>60</v>
      </c>
      <c r="F1201">
        <v>342</v>
      </c>
      <c r="G1201" t="s">
        <v>143</v>
      </c>
    </row>
    <row r="1202" spans="1:7" x14ac:dyDescent="0.35">
      <c r="A1202" t="s">
        <v>30</v>
      </c>
      <c r="B1202" t="s">
        <v>89</v>
      </c>
      <c r="C1202" t="s">
        <v>58</v>
      </c>
      <c r="D1202">
        <v>2022</v>
      </c>
      <c r="E1202" t="s">
        <v>60</v>
      </c>
      <c r="F1202">
        <v>28</v>
      </c>
      <c r="G1202" t="s">
        <v>143</v>
      </c>
    </row>
    <row r="1203" spans="1:7" x14ac:dyDescent="0.35">
      <c r="A1203" t="s">
        <v>30</v>
      </c>
      <c r="B1203" t="s">
        <v>89</v>
      </c>
      <c r="C1203" t="s">
        <v>58</v>
      </c>
      <c r="D1203">
        <v>2022</v>
      </c>
      <c r="E1203" t="s">
        <v>61</v>
      </c>
      <c r="F1203">
        <v>27</v>
      </c>
      <c r="G1203" t="s">
        <v>143</v>
      </c>
    </row>
    <row r="1204" spans="1:7" x14ac:dyDescent="0.35">
      <c r="A1204" t="s">
        <v>30</v>
      </c>
      <c r="B1204" t="s">
        <v>89</v>
      </c>
      <c r="C1204" t="s">
        <v>58</v>
      </c>
      <c r="D1204">
        <v>2022</v>
      </c>
      <c r="E1204" t="s">
        <v>63</v>
      </c>
      <c r="F1204">
        <v>19</v>
      </c>
      <c r="G1204" t="s">
        <v>143</v>
      </c>
    </row>
    <row r="1205" spans="1:7" x14ac:dyDescent="0.35">
      <c r="A1205" t="s">
        <v>30</v>
      </c>
      <c r="B1205" t="s">
        <v>89</v>
      </c>
      <c r="C1205" t="s">
        <v>58</v>
      </c>
      <c r="D1205">
        <v>2022</v>
      </c>
      <c r="E1205" t="s">
        <v>144</v>
      </c>
      <c r="F1205">
        <v>18</v>
      </c>
      <c r="G1205" t="s">
        <v>143</v>
      </c>
    </row>
    <row r="1206" spans="1:7" x14ac:dyDescent="0.35">
      <c r="A1206" t="s">
        <v>30</v>
      </c>
      <c r="B1206" t="s">
        <v>89</v>
      </c>
      <c r="C1206" t="s">
        <v>58</v>
      </c>
      <c r="D1206">
        <v>2023</v>
      </c>
      <c r="E1206" t="s">
        <v>60</v>
      </c>
      <c r="F1206">
        <v>16</v>
      </c>
      <c r="G1206" t="s">
        <v>143</v>
      </c>
    </row>
    <row r="1207" spans="1:7" x14ac:dyDescent="0.35">
      <c r="A1207" t="s">
        <v>30</v>
      </c>
      <c r="B1207" t="s">
        <v>89</v>
      </c>
      <c r="C1207" t="s">
        <v>58</v>
      </c>
      <c r="D1207">
        <v>2023</v>
      </c>
      <c r="E1207" t="s">
        <v>61</v>
      </c>
      <c r="F1207">
        <v>37</v>
      </c>
      <c r="G1207" t="s">
        <v>143</v>
      </c>
    </row>
    <row r="1208" spans="1:7" x14ac:dyDescent="0.35">
      <c r="A1208" t="s">
        <v>30</v>
      </c>
      <c r="B1208" t="s">
        <v>89</v>
      </c>
      <c r="C1208" t="s">
        <v>58</v>
      </c>
      <c r="D1208">
        <v>2023</v>
      </c>
      <c r="E1208" t="s">
        <v>63</v>
      </c>
      <c r="F1208">
        <v>21</v>
      </c>
      <c r="G1208" t="s">
        <v>143</v>
      </c>
    </row>
    <row r="1209" spans="1:7" x14ac:dyDescent="0.35">
      <c r="A1209" t="s">
        <v>30</v>
      </c>
      <c r="B1209" t="s">
        <v>89</v>
      </c>
      <c r="C1209" t="s">
        <v>58</v>
      </c>
      <c r="D1209">
        <v>2023</v>
      </c>
      <c r="E1209" t="s">
        <v>144</v>
      </c>
      <c r="F1209">
        <v>33</v>
      </c>
      <c r="G1209" t="s">
        <v>143</v>
      </c>
    </row>
    <row r="1210" spans="1:7" x14ac:dyDescent="0.35">
      <c r="A1210" t="s">
        <v>30</v>
      </c>
      <c r="B1210" t="s">
        <v>89</v>
      </c>
      <c r="C1210" t="s">
        <v>58</v>
      </c>
      <c r="D1210">
        <v>2024</v>
      </c>
      <c r="E1210" t="s">
        <v>60</v>
      </c>
      <c r="F1210">
        <v>21</v>
      </c>
      <c r="G1210" t="s">
        <v>143</v>
      </c>
    </row>
    <row r="1211" spans="1:7" x14ac:dyDescent="0.35">
      <c r="A1211" t="s">
        <v>30</v>
      </c>
      <c r="B1211" t="s">
        <v>89</v>
      </c>
      <c r="C1211" t="s">
        <v>58</v>
      </c>
      <c r="D1211">
        <v>2024</v>
      </c>
      <c r="E1211" t="s">
        <v>61</v>
      </c>
      <c r="F1211">
        <v>33</v>
      </c>
      <c r="G1211" t="s">
        <v>143</v>
      </c>
    </row>
    <row r="1212" spans="1:7" x14ac:dyDescent="0.35">
      <c r="A1212" t="s">
        <v>30</v>
      </c>
      <c r="B1212" t="s">
        <v>89</v>
      </c>
      <c r="C1212" t="s">
        <v>58</v>
      </c>
      <c r="D1212">
        <v>2024</v>
      </c>
      <c r="E1212" t="s">
        <v>63</v>
      </c>
      <c r="F1212">
        <v>12</v>
      </c>
      <c r="G1212" t="s">
        <v>143</v>
      </c>
    </row>
    <row r="1213" spans="1:7" x14ac:dyDescent="0.35">
      <c r="A1213" t="s">
        <v>30</v>
      </c>
      <c r="B1213" t="s">
        <v>89</v>
      </c>
      <c r="C1213" t="s">
        <v>58</v>
      </c>
      <c r="D1213">
        <v>2024</v>
      </c>
      <c r="E1213" t="s">
        <v>144</v>
      </c>
      <c r="F1213">
        <v>37</v>
      </c>
      <c r="G1213" t="s">
        <v>143</v>
      </c>
    </row>
    <row r="1214" spans="1:7" x14ac:dyDescent="0.35">
      <c r="A1214" t="s">
        <v>30</v>
      </c>
      <c r="B1214" t="s">
        <v>89</v>
      </c>
      <c r="C1214" t="s">
        <v>58</v>
      </c>
      <c r="D1214">
        <v>2025</v>
      </c>
      <c r="E1214" t="s">
        <v>60</v>
      </c>
      <c r="F1214">
        <v>9</v>
      </c>
      <c r="G1214" t="s">
        <v>143</v>
      </c>
    </row>
    <row r="1215" spans="1:7" x14ac:dyDescent="0.35">
      <c r="A1215" t="s">
        <v>30</v>
      </c>
      <c r="B1215" t="s">
        <v>89</v>
      </c>
      <c r="C1215" t="s">
        <v>58</v>
      </c>
      <c r="D1215">
        <v>2025</v>
      </c>
      <c r="E1215" t="s">
        <v>61</v>
      </c>
      <c r="F1215">
        <v>18</v>
      </c>
      <c r="G1215" t="s">
        <v>143</v>
      </c>
    </row>
    <row r="1216" spans="1:7" x14ac:dyDescent="0.35">
      <c r="A1216" t="s">
        <v>30</v>
      </c>
      <c r="B1216" t="s">
        <v>89</v>
      </c>
      <c r="C1216" t="s">
        <v>58</v>
      </c>
      <c r="D1216">
        <v>2025</v>
      </c>
      <c r="E1216" t="s">
        <v>63</v>
      </c>
      <c r="F1216">
        <v>21</v>
      </c>
      <c r="G1216" t="s">
        <v>143</v>
      </c>
    </row>
    <row r="1217" spans="1:7" x14ac:dyDescent="0.35">
      <c r="A1217" t="s">
        <v>30</v>
      </c>
      <c r="B1217" t="s">
        <v>89</v>
      </c>
      <c r="C1217" t="s">
        <v>58</v>
      </c>
      <c r="D1217">
        <v>2025</v>
      </c>
      <c r="E1217" t="s">
        <v>144</v>
      </c>
      <c r="F1217">
        <v>14</v>
      </c>
      <c r="G1217" t="s">
        <v>143</v>
      </c>
    </row>
    <row r="1218" spans="1:7" x14ac:dyDescent="0.35">
      <c r="A1218" t="s">
        <v>30</v>
      </c>
      <c r="B1218" t="s">
        <v>89</v>
      </c>
      <c r="C1218" t="s">
        <v>58</v>
      </c>
      <c r="D1218">
        <v>2026</v>
      </c>
      <c r="E1218" t="s">
        <v>60</v>
      </c>
      <c r="F1218">
        <v>11</v>
      </c>
      <c r="G1218" t="s">
        <v>143</v>
      </c>
    </row>
    <row r="1219" spans="1:7" x14ac:dyDescent="0.35">
      <c r="A1219" t="s">
        <v>30</v>
      </c>
      <c r="B1219" t="s">
        <v>89</v>
      </c>
      <c r="C1219" t="s">
        <v>59</v>
      </c>
      <c r="D1219">
        <v>2022</v>
      </c>
      <c r="E1219" t="s">
        <v>60</v>
      </c>
      <c r="F1219">
        <v>361</v>
      </c>
      <c r="G1219" t="s">
        <v>143</v>
      </c>
    </row>
    <row r="1220" spans="1:7" x14ac:dyDescent="0.35">
      <c r="A1220" t="s">
        <v>30</v>
      </c>
      <c r="B1220" t="s">
        <v>89</v>
      </c>
      <c r="C1220" t="s">
        <v>59</v>
      </c>
      <c r="D1220">
        <v>2022</v>
      </c>
      <c r="E1220" t="s">
        <v>61</v>
      </c>
      <c r="F1220">
        <v>310</v>
      </c>
      <c r="G1220" t="s">
        <v>143</v>
      </c>
    </row>
    <row r="1221" spans="1:7" x14ac:dyDescent="0.35">
      <c r="A1221" t="s">
        <v>30</v>
      </c>
      <c r="B1221" t="s">
        <v>89</v>
      </c>
      <c r="C1221" t="s">
        <v>59</v>
      </c>
      <c r="D1221">
        <v>2022</v>
      </c>
      <c r="E1221" t="s">
        <v>63</v>
      </c>
      <c r="F1221">
        <v>197</v>
      </c>
      <c r="G1221" t="s">
        <v>143</v>
      </c>
    </row>
    <row r="1222" spans="1:7" x14ac:dyDescent="0.35">
      <c r="A1222" t="s">
        <v>30</v>
      </c>
      <c r="B1222" t="s">
        <v>89</v>
      </c>
      <c r="C1222" t="s">
        <v>59</v>
      </c>
      <c r="D1222">
        <v>2022</v>
      </c>
      <c r="E1222" t="s">
        <v>144</v>
      </c>
      <c r="F1222">
        <v>282</v>
      </c>
      <c r="G1222" t="s">
        <v>143</v>
      </c>
    </row>
    <row r="1223" spans="1:7" x14ac:dyDescent="0.35">
      <c r="A1223" t="s">
        <v>30</v>
      </c>
      <c r="B1223" t="s">
        <v>89</v>
      </c>
      <c r="C1223" t="s">
        <v>59</v>
      </c>
      <c r="D1223">
        <v>2023</v>
      </c>
      <c r="E1223" t="s">
        <v>60</v>
      </c>
      <c r="F1223">
        <v>100</v>
      </c>
      <c r="G1223" t="s">
        <v>143</v>
      </c>
    </row>
    <row r="1224" spans="1:7" x14ac:dyDescent="0.35">
      <c r="A1224" t="s">
        <v>30</v>
      </c>
      <c r="B1224" t="s">
        <v>89</v>
      </c>
      <c r="C1224" t="s">
        <v>59</v>
      </c>
      <c r="D1224">
        <v>2023</v>
      </c>
      <c r="E1224" t="s">
        <v>61</v>
      </c>
      <c r="F1224">
        <v>194</v>
      </c>
      <c r="G1224" t="s">
        <v>143</v>
      </c>
    </row>
    <row r="1225" spans="1:7" x14ac:dyDescent="0.35">
      <c r="A1225" t="s">
        <v>30</v>
      </c>
      <c r="B1225" t="s">
        <v>89</v>
      </c>
      <c r="C1225" t="s">
        <v>59</v>
      </c>
      <c r="D1225">
        <v>2023</v>
      </c>
      <c r="E1225" t="s">
        <v>63</v>
      </c>
      <c r="F1225">
        <v>503</v>
      </c>
      <c r="G1225" t="s">
        <v>143</v>
      </c>
    </row>
    <row r="1226" spans="1:7" x14ac:dyDescent="0.35">
      <c r="A1226" t="s">
        <v>30</v>
      </c>
      <c r="B1226" t="s">
        <v>89</v>
      </c>
      <c r="C1226" t="s">
        <v>59</v>
      </c>
      <c r="D1226">
        <v>2023</v>
      </c>
      <c r="E1226" t="s">
        <v>144</v>
      </c>
      <c r="F1226">
        <v>400</v>
      </c>
      <c r="G1226" t="s">
        <v>143</v>
      </c>
    </row>
    <row r="1227" spans="1:7" x14ac:dyDescent="0.35">
      <c r="A1227" t="s">
        <v>30</v>
      </c>
      <c r="B1227" t="s">
        <v>89</v>
      </c>
      <c r="C1227" t="s">
        <v>59</v>
      </c>
      <c r="D1227">
        <v>2024</v>
      </c>
      <c r="E1227" t="s">
        <v>60</v>
      </c>
      <c r="F1227">
        <v>360</v>
      </c>
      <c r="G1227" t="s">
        <v>143</v>
      </c>
    </row>
    <row r="1228" spans="1:7" x14ac:dyDescent="0.35">
      <c r="A1228" t="s">
        <v>30</v>
      </c>
      <c r="B1228" t="s">
        <v>89</v>
      </c>
      <c r="C1228" t="s">
        <v>59</v>
      </c>
      <c r="D1228">
        <v>2024</v>
      </c>
      <c r="E1228" t="s">
        <v>61</v>
      </c>
      <c r="F1228">
        <v>319</v>
      </c>
      <c r="G1228" t="s">
        <v>143</v>
      </c>
    </row>
    <row r="1229" spans="1:7" x14ac:dyDescent="0.35">
      <c r="A1229" t="s">
        <v>30</v>
      </c>
      <c r="B1229" t="s">
        <v>89</v>
      </c>
      <c r="C1229" t="s">
        <v>59</v>
      </c>
      <c r="D1229">
        <v>2024</v>
      </c>
      <c r="E1229" t="s">
        <v>63</v>
      </c>
      <c r="F1229">
        <v>291</v>
      </c>
      <c r="G1229" t="s">
        <v>143</v>
      </c>
    </row>
    <row r="1230" spans="1:7" x14ac:dyDescent="0.35">
      <c r="A1230" t="s">
        <v>30</v>
      </c>
      <c r="B1230" t="s">
        <v>89</v>
      </c>
      <c r="C1230" t="s">
        <v>59</v>
      </c>
      <c r="D1230">
        <v>2024</v>
      </c>
      <c r="E1230" t="s">
        <v>144</v>
      </c>
      <c r="F1230">
        <v>231</v>
      </c>
      <c r="G1230" t="s">
        <v>143</v>
      </c>
    </row>
    <row r="1231" spans="1:7" x14ac:dyDescent="0.35">
      <c r="A1231" t="s">
        <v>30</v>
      </c>
      <c r="B1231" t="s">
        <v>89</v>
      </c>
      <c r="C1231" t="s">
        <v>59</v>
      </c>
      <c r="D1231">
        <v>2025</v>
      </c>
      <c r="E1231" t="s">
        <v>60</v>
      </c>
      <c r="F1231">
        <v>209</v>
      </c>
      <c r="G1231" t="s">
        <v>143</v>
      </c>
    </row>
    <row r="1232" spans="1:7" x14ac:dyDescent="0.35">
      <c r="A1232" t="s">
        <v>30</v>
      </c>
      <c r="B1232" t="s">
        <v>89</v>
      </c>
      <c r="C1232" t="s">
        <v>59</v>
      </c>
      <c r="D1232">
        <v>2025</v>
      </c>
      <c r="E1232" t="s">
        <v>61</v>
      </c>
      <c r="F1232">
        <v>141</v>
      </c>
      <c r="G1232" t="s">
        <v>143</v>
      </c>
    </row>
    <row r="1233" spans="1:7" x14ac:dyDescent="0.35">
      <c r="A1233" t="s">
        <v>30</v>
      </c>
      <c r="B1233" t="s">
        <v>89</v>
      </c>
      <c r="C1233" t="s">
        <v>59</v>
      </c>
      <c r="D1233">
        <v>2025</v>
      </c>
      <c r="E1233" t="s">
        <v>63</v>
      </c>
      <c r="F1233">
        <v>138</v>
      </c>
      <c r="G1233" t="s">
        <v>143</v>
      </c>
    </row>
    <row r="1234" spans="1:7" x14ac:dyDescent="0.35">
      <c r="A1234" t="s">
        <v>30</v>
      </c>
      <c r="B1234" t="s">
        <v>89</v>
      </c>
      <c r="C1234" t="s">
        <v>59</v>
      </c>
      <c r="D1234">
        <v>2025</v>
      </c>
      <c r="E1234" t="s">
        <v>144</v>
      </c>
      <c r="F1234">
        <v>70</v>
      </c>
      <c r="G1234" t="s">
        <v>143</v>
      </c>
    </row>
    <row r="1235" spans="1:7" x14ac:dyDescent="0.35">
      <c r="A1235" t="s">
        <v>30</v>
      </c>
      <c r="B1235" t="s">
        <v>89</v>
      </c>
      <c r="C1235" t="s">
        <v>59</v>
      </c>
      <c r="D1235">
        <v>2026</v>
      </c>
      <c r="E1235" t="s">
        <v>60</v>
      </c>
      <c r="F1235">
        <v>162</v>
      </c>
      <c r="G1235" t="s">
        <v>143</v>
      </c>
    </row>
    <row r="1236" spans="1:7" x14ac:dyDescent="0.35">
      <c r="A1236" t="s">
        <v>31</v>
      </c>
      <c r="B1236" t="s">
        <v>31</v>
      </c>
      <c r="C1236" t="s">
        <v>57</v>
      </c>
      <c r="D1236">
        <v>2022</v>
      </c>
      <c r="E1236" t="s">
        <v>60</v>
      </c>
      <c r="F1236">
        <v>217</v>
      </c>
      <c r="G1236" t="s">
        <v>143</v>
      </c>
    </row>
    <row r="1237" spans="1:7" x14ac:dyDescent="0.35">
      <c r="A1237" t="s">
        <v>31</v>
      </c>
      <c r="B1237" t="s">
        <v>31</v>
      </c>
      <c r="C1237" t="s">
        <v>57</v>
      </c>
      <c r="D1237">
        <v>2022</v>
      </c>
      <c r="E1237" t="s">
        <v>61</v>
      </c>
      <c r="F1237">
        <v>202</v>
      </c>
      <c r="G1237" t="s">
        <v>143</v>
      </c>
    </row>
    <row r="1238" spans="1:7" x14ac:dyDescent="0.35">
      <c r="A1238" t="s">
        <v>31</v>
      </c>
      <c r="B1238" t="s">
        <v>31</v>
      </c>
      <c r="C1238" t="s">
        <v>57</v>
      </c>
      <c r="D1238">
        <v>2022</v>
      </c>
      <c r="E1238" t="s">
        <v>63</v>
      </c>
      <c r="F1238">
        <v>136</v>
      </c>
      <c r="G1238" t="s">
        <v>143</v>
      </c>
    </row>
    <row r="1239" spans="1:7" x14ac:dyDescent="0.35">
      <c r="A1239" t="s">
        <v>31</v>
      </c>
      <c r="B1239" t="s">
        <v>31</v>
      </c>
      <c r="C1239" t="s">
        <v>57</v>
      </c>
      <c r="D1239">
        <v>2022</v>
      </c>
      <c r="E1239" t="s">
        <v>144</v>
      </c>
      <c r="F1239">
        <v>243</v>
      </c>
      <c r="G1239" t="s">
        <v>143</v>
      </c>
    </row>
    <row r="1240" spans="1:7" x14ac:dyDescent="0.35">
      <c r="A1240" t="s">
        <v>31</v>
      </c>
      <c r="B1240" t="s">
        <v>31</v>
      </c>
      <c r="C1240" t="s">
        <v>57</v>
      </c>
      <c r="D1240">
        <v>2023</v>
      </c>
      <c r="E1240" t="s">
        <v>60</v>
      </c>
      <c r="F1240">
        <v>214</v>
      </c>
      <c r="G1240" t="s">
        <v>143</v>
      </c>
    </row>
    <row r="1241" spans="1:7" x14ac:dyDescent="0.35">
      <c r="A1241" t="s">
        <v>31</v>
      </c>
      <c r="B1241" t="s">
        <v>31</v>
      </c>
      <c r="C1241" t="s">
        <v>57</v>
      </c>
      <c r="D1241">
        <v>2023</v>
      </c>
      <c r="E1241" t="s">
        <v>61</v>
      </c>
      <c r="F1241">
        <v>318</v>
      </c>
      <c r="G1241" t="s">
        <v>143</v>
      </c>
    </row>
    <row r="1242" spans="1:7" x14ac:dyDescent="0.35">
      <c r="A1242" t="s">
        <v>31</v>
      </c>
      <c r="B1242" t="s">
        <v>31</v>
      </c>
      <c r="C1242" t="s">
        <v>57</v>
      </c>
      <c r="D1242">
        <v>2023</v>
      </c>
      <c r="E1242" t="s">
        <v>63</v>
      </c>
      <c r="F1242">
        <v>248</v>
      </c>
      <c r="G1242" t="s">
        <v>143</v>
      </c>
    </row>
    <row r="1243" spans="1:7" x14ac:dyDescent="0.35">
      <c r="A1243" t="s">
        <v>31</v>
      </c>
      <c r="B1243" t="s">
        <v>31</v>
      </c>
      <c r="C1243" t="s">
        <v>57</v>
      </c>
      <c r="D1243">
        <v>2023</v>
      </c>
      <c r="E1243" t="s">
        <v>144</v>
      </c>
      <c r="F1243">
        <v>286</v>
      </c>
      <c r="G1243" t="s">
        <v>143</v>
      </c>
    </row>
    <row r="1244" spans="1:7" x14ac:dyDescent="0.35">
      <c r="A1244" t="s">
        <v>31</v>
      </c>
      <c r="B1244" t="s">
        <v>31</v>
      </c>
      <c r="C1244" t="s">
        <v>57</v>
      </c>
      <c r="D1244">
        <v>2024</v>
      </c>
      <c r="E1244" t="s">
        <v>60</v>
      </c>
      <c r="F1244">
        <v>251</v>
      </c>
      <c r="G1244" t="s">
        <v>143</v>
      </c>
    </row>
    <row r="1245" spans="1:7" x14ac:dyDescent="0.35">
      <c r="A1245" t="s">
        <v>31</v>
      </c>
      <c r="B1245" t="s">
        <v>31</v>
      </c>
      <c r="C1245" t="s">
        <v>57</v>
      </c>
      <c r="D1245">
        <v>2024</v>
      </c>
      <c r="E1245" t="s">
        <v>61</v>
      </c>
      <c r="F1245">
        <v>320</v>
      </c>
      <c r="G1245" t="s">
        <v>143</v>
      </c>
    </row>
    <row r="1246" spans="1:7" x14ac:dyDescent="0.35">
      <c r="A1246" t="s">
        <v>31</v>
      </c>
      <c r="B1246" t="s">
        <v>31</v>
      </c>
      <c r="C1246" t="s">
        <v>57</v>
      </c>
      <c r="D1246">
        <v>2024</v>
      </c>
      <c r="E1246" t="s">
        <v>63</v>
      </c>
      <c r="F1246">
        <v>250</v>
      </c>
      <c r="G1246" t="s">
        <v>143</v>
      </c>
    </row>
    <row r="1247" spans="1:7" x14ac:dyDescent="0.35">
      <c r="A1247" t="s">
        <v>31</v>
      </c>
      <c r="B1247" t="s">
        <v>31</v>
      </c>
      <c r="C1247" t="s">
        <v>57</v>
      </c>
      <c r="D1247">
        <v>2024</v>
      </c>
      <c r="E1247" t="s">
        <v>144</v>
      </c>
      <c r="F1247">
        <v>232</v>
      </c>
      <c r="G1247" t="s">
        <v>143</v>
      </c>
    </row>
    <row r="1248" spans="1:7" x14ac:dyDescent="0.35">
      <c r="A1248" t="s">
        <v>31</v>
      </c>
      <c r="B1248" t="s">
        <v>31</v>
      </c>
      <c r="C1248" t="s">
        <v>57</v>
      </c>
      <c r="D1248">
        <v>2025</v>
      </c>
      <c r="E1248" t="s">
        <v>60</v>
      </c>
      <c r="F1248">
        <v>302</v>
      </c>
      <c r="G1248" t="s">
        <v>143</v>
      </c>
    </row>
    <row r="1249" spans="1:7" x14ac:dyDescent="0.35">
      <c r="A1249" t="s">
        <v>31</v>
      </c>
      <c r="B1249" t="s">
        <v>31</v>
      </c>
      <c r="C1249" t="s">
        <v>57</v>
      </c>
      <c r="D1249">
        <v>2025</v>
      </c>
      <c r="E1249" t="s">
        <v>61</v>
      </c>
      <c r="F1249">
        <v>326</v>
      </c>
      <c r="G1249" t="s">
        <v>143</v>
      </c>
    </row>
    <row r="1250" spans="1:7" x14ac:dyDescent="0.35">
      <c r="A1250" t="s">
        <v>31</v>
      </c>
      <c r="B1250" t="s">
        <v>31</v>
      </c>
      <c r="C1250" t="s">
        <v>57</v>
      </c>
      <c r="D1250">
        <v>2025</v>
      </c>
      <c r="E1250" t="s">
        <v>63</v>
      </c>
      <c r="F1250">
        <v>349</v>
      </c>
      <c r="G1250" t="s">
        <v>143</v>
      </c>
    </row>
    <row r="1251" spans="1:7" x14ac:dyDescent="0.35">
      <c r="A1251" t="s">
        <v>31</v>
      </c>
      <c r="B1251" t="s">
        <v>31</v>
      </c>
      <c r="C1251" t="s">
        <v>57</v>
      </c>
      <c r="D1251">
        <v>2025</v>
      </c>
      <c r="E1251" t="s">
        <v>144</v>
      </c>
      <c r="F1251">
        <v>589</v>
      </c>
      <c r="G1251" t="s">
        <v>143</v>
      </c>
    </row>
    <row r="1252" spans="1:7" x14ac:dyDescent="0.35">
      <c r="A1252" t="s">
        <v>31</v>
      </c>
      <c r="B1252" t="s">
        <v>31</v>
      </c>
      <c r="C1252" t="s">
        <v>57</v>
      </c>
      <c r="D1252">
        <v>2026</v>
      </c>
      <c r="E1252" t="s">
        <v>60</v>
      </c>
      <c r="F1252">
        <v>411</v>
      </c>
      <c r="G1252" t="s">
        <v>143</v>
      </c>
    </row>
    <row r="1253" spans="1:7" x14ac:dyDescent="0.35">
      <c r="A1253" t="s">
        <v>31</v>
      </c>
      <c r="B1253" t="s">
        <v>31</v>
      </c>
      <c r="C1253" t="s">
        <v>58</v>
      </c>
      <c r="D1253">
        <v>2022</v>
      </c>
      <c r="E1253" t="s">
        <v>60</v>
      </c>
      <c r="F1253">
        <v>41</v>
      </c>
      <c r="G1253" t="s">
        <v>143</v>
      </c>
    </row>
    <row r="1254" spans="1:7" x14ac:dyDescent="0.35">
      <c r="A1254" t="s">
        <v>31</v>
      </c>
      <c r="B1254" t="s">
        <v>31</v>
      </c>
      <c r="C1254" t="s">
        <v>58</v>
      </c>
      <c r="D1254">
        <v>2022</v>
      </c>
      <c r="E1254" t="s">
        <v>61</v>
      </c>
      <c r="F1254">
        <v>62</v>
      </c>
      <c r="G1254" t="s">
        <v>143</v>
      </c>
    </row>
    <row r="1255" spans="1:7" x14ac:dyDescent="0.35">
      <c r="A1255" t="s">
        <v>31</v>
      </c>
      <c r="B1255" t="s">
        <v>31</v>
      </c>
      <c r="C1255" t="s">
        <v>58</v>
      </c>
      <c r="D1255">
        <v>2022</v>
      </c>
      <c r="E1255" t="s">
        <v>63</v>
      </c>
      <c r="F1255">
        <v>55</v>
      </c>
      <c r="G1255" t="s">
        <v>143</v>
      </c>
    </row>
    <row r="1256" spans="1:7" x14ac:dyDescent="0.35">
      <c r="A1256" t="s">
        <v>31</v>
      </c>
      <c r="B1256" t="s">
        <v>31</v>
      </c>
      <c r="C1256" t="s">
        <v>58</v>
      </c>
      <c r="D1256">
        <v>2022</v>
      </c>
      <c r="E1256" t="s">
        <v>144</v>
      </c>
      <c r="F1256">
        <v>63</v>
      </c>
      <c r="G1256" t="s">
        <v>143</v>
      </c>
    </row>
    <row r="1257" spans="1:7" x14ac:dyDescent="0.35">
      <c r="A1257" t="s">
        <v>31</v>
      </c>
      <c r="B1257" t="s">
        <v>31</v>
      </c>
      <c r="C1257" t="s">
        <v>58</v>
      </c>
      <c r="D1257">
        <v>2023</v>
      </c>
      <c r="E1257" t="s">
        <v>60</v>
      </c>
      <c r="F1257">
        <v>45</v>
      </c>
      <c r="G1257" t="s">
        <v>143</v>
      </c>
    </row>
    <row r="1258" spans="1:7" x14ac:dyDescent="0.35">
      <c r="A1258" t="s">
        <v>31</v>
      </c>
      <c r="B1258" t="s">
        <v>31</v>
      </c>
      <c r="C1258" t="s">
        <v>58</v>
      </c>
      <c r="D1258">
        <v>2023</v>
      </c>
      <c r="E1258" t="s">
        <v>61</v>
      </c>
      <c r="F1258">
        <v>44</v>
      </c>
      <c r="G1258" t="s">
        <v>143</v>
      </c>
    </row>
    <row r="1259" spans="1:7" x14ac:dyDescent="0.35">
      <c r="A1259" t="s">
        <v>31</v>
      </c>
      <c r="B1259" t="s">
        <v>31</v>
      </c>
      <c r="C1259" t="s">
        <v>58</v>
      </c>
      <c r="D1259">
        <v>2023</v>
      </c>
      <c r="E1259" t="s">
        <v>63</v>
      </c>
      <c r="F1259">
        <v>34</v>
      </c>
      <c r="G1259" t="s">
        <v>143</v>
      </c>
    </row>
    <row r="1260" spans="1:7" x14ac:dyDescent="0.35">
      <c r="A1260" t="s">
        <v>31</v>
      </c>
      <c r="B1260" t="s">
        <v>31</v>
      </c>
      <c r="C1260" t="s">
        <v>58</v>
      </c>
      <c r="D1260">
        <v>2023</v>
      </c>
      <c r="E1260" t="s">
        <v>144</v>
      </c>
      <c r="F1260">
        <v>52</v>
      </c>
      <c r="G1260" t="s">
        <v>143</v>
      </c>
    </row>
    <row r="1261" spans="1:7" x14ac:dyDescent="0.35">
      <c r="A1261" t="s">
        <v>31</v>
      </c>
      <c r="B1261" t="s">
        <v>31</v>
      </c>
      <c r="C1261" t="s">
        <v>58</v>
      </c>
      <c r="D1261">
        <v>2024</v>
      </c>
      <c r="E1261" t="s">
        <v>60</v>
      </c>
      <c r="F1261">
        <v>39</v>
      </c>
      <c r="G1261" t="s">
        <v>143</v>
      </c>
    </row>
    <row r="1262" spans="1:7" x14ac:dyDescent="0.35">
      <c r="A1262" t="s">
        <v>31</v>
      </c>
      <c r="B1262" t="s">
        <v>31</v>
      </c>
      <c r="C1262" t="s">
        <v>58</v>
      </c>
      <c r="D1262">
        <v>2024</v>
      </c>
      <c r="E1262" t="s">
        <v>61</v>
      </c>
      <c r="F1262">
        <v>53</v>
      </c>
      <c r="G1262" t="s">
        <v>143</v>
      </c>
    </row>
    <row r="1263" spans="1:7" x14ac:dyDescent="0.35">
      <c r="A1263" t="s">
        <v>31</v>
      </c>
      <c r="B1263" t="s">
        <v>31</v>
      </c>
      <c r="C1263" t="s">
        <v>58</v>
      </c>
      <c r="D1263">
        <v>2024</v>
      </c>
      <c r="E1263" t="s">
        <v>63</v>
      </c>
      <c r="F1263">
        <v>55</v>
      </c>
      <c r="G1263" t="s">
        <v>143</v>
      </c>
    </row>
    <row r="1264" spans="1:7" x14ac:dyDescent="0.35">
      <c r="A1264" t="s">
        <v>31</v>
      </c>
      <c r="B1264" t="s">
        <v>31</v>
      </c>
      <c r="C1264" t="s">
        <v>58</v>
      </c>
      <c r="D1264">
        <v>2024</v>
      </c>
      <c r="E1264" t="s">
        <v>144</v>
      </c>
      <c r="F1264">
        <v>66</v>
      </c>
      <c r="G1264" t="s">
        <v>143</v>
      </c>
    </row>
    <row r="1265" spans="1:7" x14ac:dyDescent="0.35">
      <c r="A1265" t="s">
        <v>31</v>
      </c>
      <c r="B1265" t="s">
        <v>31</v>
      </c>
      <c r="C1265" t="s">
        <v>58</v>
      </c>
      <c r="D1265">
        <v>2025</v>
      </c>
      <c r="E1265" t="s">
        <v>60</v>
      </c>
      <c r="F1265">
        <v>49</v>
      </c>
      <c r="G1265" t="s">
        <v>143</v>
      </c>
    </row>
    <row r="1266" spans="1:7" x14ac:dyDescent="0.35">
      <c r="A1266" t="s">
        <v>31</v>
      </c>
      <c r="B1266" t="s">
        <v>31</v>
      </c>
      <c r="C1266" t="s">
        <v>58</v>
      </c>
      <c r="D1266">
        <v>2025</v>
      </c>
      <c r="E1266" t="s">
        <v>61</v>
      </c>
      <c r="F1266">
        <v>49</v>
      </c>
      <c r="G1266" t="s">
        <v>143</v>
      </c>
    </row>
    <row r="1267" spans="1:7" x14ac:dyDescent="0.35">
      <c r="A1267" t="s">
        <v>31</v>
      </c>
      <c r="B1267" t="s">
        <v>31</v>
      </c>
      <c r="C1267" t="s">
        <v>58</v>
      </c>
      <c r="D1267">
        <v>2025</v>
      </c>
      <c r="E1267" t="s">
        <v>63</v>
      </c>
      <c r="F1267">
        <v>63</v>
      </c>
      <c r="G1267" t="s">
        <v>143</v>
      </c>
    </row>
    <row r="1268" spans="1:7" x14ac:dyDescent="0.35">
      <c r="A1268" t="s">
        <v>31</v>
      </c>
      <c r="B1268" t="s">
        <v>31</v>
      </c>
      <c r="C1268" t="s">
        <v>58</v>
      </c>
      <c r="D1268">
        <v>2025</v>
      </c>
      <c r="E1268" t="s">
        <v>144</v>
      </c>
      <c r="F1268">
        <v>62</v>
      </c>
      <c r="G1268" t="s">
        <v>143</v>
      </c>
    </row>
    <row r="1269" spans="1:7" x14ac:dyDescent="0.35">
      <c r="A1269" t="s">
        <v>31</v>
      </c>
      <c r="B1269" t="s">
        <v>31</v>
      </c>
      <c r="C1269" t="s">
        <v>58</v>
      </c>
      <c r="D1269">
        <v>2026</v>
      </c>
      <c r="E1269" t="s">
        <v>60</v>
      </c>
      <c r="F1269">
        <v>68</v>
      </c>
      <c r="G1269" t="s">
        <v>143</v>
      </c>
    </row>
    <row r="1270" spans="1:7" x14ac:dyDescent="0.35">
      <c r="A1270" t="s">
        <v>31</v>
      </c>
      <c r="B1270" t="s">
        <v>31</v>
      </c>
      <c r="C1270" t="s">
        <v>59</v>
      </c>
      <c r="D1270">
        <v>2022</v>
      </c>
      <c r="E1270" t="s">
        <v>60</v>
      </c>
      <c r="F1270">
        <v>-9</v>
      </c>
      <c r="G1270" t="s">
        <v>143</v>
      </c>
    </row>
    <row r="1271" spans="1:7" x14ac:dyDescent="0.35">
      <c r="A1271" t="s">
        <v>31</v>
      </c>
      <c r="B1271" t="s">
        <v>31</v>
      </c>
      <c r="C1271" t="s">
        <v>59</v>
      </c>
      <c r="D1271">
        <v>2022</v>
      </c>
      <c r="E1271" t="s">
        <v>61</v>
      </c>
      <c r="F1271">
        <v>-78</v>
      </c>
      <c r="G1271" t="s">
        <v>143</v>
      </c>
    </row>
    <row r="1272" spans="1:7" x14ac:dyDescent="0.35">
      <c r="A1272" t="s">
        <v>31</v>
      </c>
      <c r="B1272" t="s">
        <v>31</v>
      </c>
      <c r="C1272" t="s">
        <v>59</v>
      </c>
      <c r="D1272">
        <v>2022</v>
      </c>
      <c r="E1272" t="s">
        <v>63</v>
      </c>
      <c r="F1272">
        <v>-23</v>
      </c>
      <c r="G1272" t="s">
        <v>143</v>
      </c>
    </row>
    <row r="1273" spans="1:7" x14ac:dyDescent="0.35">
      <c r="A1273" t="s">
        <v>31</v>
      </c>
      <c r="B1273" t="s">
        <v>31</v>
      </c>
      <c r="C1273" t="s">
        <v>59</v>
      </c>
      <c r="D1273">
        <v>2022</v>
      </c>
      <c r="E1273" t="s">
        <v>144</v>
      </c>
      <c r="F1273">
        <v>56</v>
      </c>
      <c r="G1273" t="s">
        <v>143</v>
      </c>
    </row>
    <row r="1274" spans="1:7" x14ac:dyDescent="0.35">
      <c r="A1274" t="s">
        <v>31</v>
      </c>
      <c r="B1274" t="s">
        <v>31</v>
      </c>
      <c r="C1274" t="s">
        <v>59</v>
      </c>
      <c r="D1274">
        <v>2023</v>
      </c>
      <c r="E1274" t="s">
        <v>60</v>
      </c>
      <c r="F1274">
        <v>31</v>
      </c>
      <c r="G1274" t="s">
        <v>143</v>
      </c>
    </row>
    <row r="1275" spans="1:7" x14ac:dyDescent="0.35">
      <c r="A1275" t="s">
        <v>31</v>
      </c>
      <c r="B1275" t="s">
        <v>31</v>
      </c>
      <c r="C1275" t="s">
        <v>59</v>
      </c>
      <c r="D1275">
        <v>2023</v>
      </c>
      <c r="E1275" t="s">
        <v>61</v>
      </c>
      <c r="F1275">
        <v>-66</v>
      </c>
      <c r="G1275" t="s">
        <v>143</v>
      </c>
    </row>
    <row r="1276" spans="1:7" x14ac:dyDescent="0.35">
      <c r="A1276" t="s">
        <v>31</v>
      </c>
      <c r="B1276" t="s">
        <v>31</v>
      </c>
      <c r="C1276" t="s">
        <v>59</v>
      </c>
      <c r="D1276">
        <v>2023</v>
      </c>
      <c r="E1276" t="s">
        <v>63</v>
      </c>
      <c r="F1276">
        <v>-201</v>
      </c>
      <c r="G1276" t="s">
        <v>143</v>
      </c>
    </row>
    <row r="1277" spans="1:7" x14ac:dyDescent="0.35">
      <c r="A1277" t="s">
        <v>31</v>
      </c>
      <c r="B1277" t="s">
        <v>31</v>
      </c>
      <c r="C1277" t="s">
        <v>59</v>
      </c>
      <c r="D1277">
        <v>2023</v>
      </c>
      <c r="E1277" t="s">
        <v>144</v>
      </c>
      <c r="F1277">
        <v>-340</v>
      </c>
      <c r="G1277" t="s">
        <v>143</v>
      </c>
    </row>
    <row r="1278" spans="1:7" x14ac:dyDescent="0.35">
      <c r="A1278" t="s">
        <v>31</v>
      </c>
      <c r="B1278" t="s">
        <v>31</v>
      </c>
      <c r="C1278" t="s">
        <v>59</v>
      </c>
      <c r="D1278">
        <v>2024</v>
      </c>
      <c r="E1278" t="s">
        <v>60</v>
      </c>
      <c r="F1278">
        <v>-332</v>
      </c>
      <c r="G1278" t="s">
        <v>143</v>
      </c>
    </row>
    <row r="1279" spans="1:7" x14ac:dyDescent="0.35">
      <c r="A1279" t="s">
        <v>31</v>
      </c>
      <c r="B1279" t="s">
        <v>31</v>
      </c>
      <c r="C1279" t="s">
        <v>59</v>
      </c>
      <c r="D1279">
        <v>2024</v>
      </c>
      <c r="E1279" t="s">
        <v>61</v>
      </c>
      <c r="F1279">
        <v>-229</v>
      </c>
      <c r="G1279" t="s">
        <v>143</v>
      </c>
    </row>
    <row r="1280" spans="1:7" x14ac:dyDescent="0.35">
      <c r="A1280" t="s">
        <v>31</v>
      </c>
      <c r="B1280" t="s">
        <v>31</v>
      </c>
      <c r="C1280" t="s">
        <v>59</v>
      </c>
      <c r="D1280">
        <v>2024</v>
      </c>
      <c r="E1280" t="s">
        <v>63</v>
      </c>
      <c r="F1280">
        <v>-280</v>
      </c>
      <c r="G1280" t="s">
        <v>143</v>
      </c>
    </row>
    <row r="1281" spans="1:7" x14ac:dyDescent="0.35">
      <c r="A1281" t="s">
        <v>31</v>
      </c>
      <c r="B1281" t="s">
        <v>31</v>
      </c>
      <c r="C1281" t="s">
        <v>59</v>
      </c>
      <c r="D1281">
        <v>2024</v>
      </c>
      <c r="E1281" t="s">
        <v>144</v>
      </c>
      <c r="F1281">
        <v>-312</v>
      </c>
      <c r="G1281" t="s">
        <v>143</v>
      </c>
    </row>
    <row r="1282" spans="1:7" x14ac:dyDescent="0.35">
      <c r="A1282" t="s">
        <v>31</v>
      </c>
      <c r="B1282" t="s">
        <v>31</v>
      </c>
      <c r="C1282" t="s">
        <v>59</v>
      </c>
      <c r="D1282">
        <v>2025</v>
      </c>
      <c r="E1282" t="s">
        <v>60</v>
      </c>
      <c r="F1282">
        <v>-216</v>
      </c>
      <c r="G1282" t="s">
        <v>143</v>
      </c>
    </row>
    <row r="1283" spans="1:7" x14ac:dyDescent="0.35">
      <c r="A1283" t="s">
        <v>31</v>
      </c>
      <c r="B1283" t="s">
        <v>31</v>
      </c>
      <c r="C1283" t="s">
        <v>59</v>
      </c>
      <c r="D1283">
        <v>2025</v>
      </c>
      <c r="E1283" t="s">
        <v>61</v>
      </c>
      <c r="F1283">
        <v>176</v>
      </c>
      <c r="G1283" t="s">
        <v>143</v>
      </c>
    </row>
    <row r="1284" spans="1:7" x14ac:dyDescent="0.35">
      <c r="A1284" t="s">
        <v>31</v>
      </c>
      <c r="B1284" t="s">
        <v>31</v>
      </c>
      <c r="C1284" t="s">
        <v>59</v>
      </c>
      <c r="D1284">
        <v>2025</v>
      </c>
      <c r="E1284" t="s">
        <v>63</v>
      </c>
      <c r="F1284">
        <v>152</v>
      </c>
      <c r="G1284" t="s">
        <v>143</v>
      </c>
    </row>
    <row r="1285" spans="1:7" x14ac:dyDescent="0.35">
      <c r="A1285" t="s">
        <v>31</v>
      </c>
      <c r="B1285" t="s">
        <v>31</v>
      </c>
      <c r="C1285" t="s">
        <v>59</v>
      </c>
      <c r="D1285">
        <v>2025</v>
      </c>
      <c r="E1285" t="s">
        <v>144</v>
      </c>
      <c r="F1285">
        <v>-540</v>
      </c>
      <c r="G1285" t="s">
        <v>143</v>
      </c>
    </row>
    <row r="1286" spans="1:7" x14ac:dyDescent="0.35">
      <c r="A1286" t="s">
        <v>31</v>
      </c>
      <c r="B1286" t="s">
        <v>31</v>
      </c>
      <c r="C1286" t="s">
        <v>59</v>
      </c>
      <c r="D1286">
        <v>2026</v>
      </c>
      <c r="E1286" t="s">
        <v>60</v>
      </c>
      <c r="F1286">
        <v>-374</v>
      </c>
      <c r="G1286" t="s">
        <v>143</v>
      </c>
    </row>
    <row r="1287" spans="1:7" x14ac:dyDescent="0.35">
      <c r="A1287" t="s">
        <v>32</v>
      </c>
      <c r="B1287" t="s">
        <v>90</v>
      </c>
      <c r="C1287" t="s">
        <v>57</v>
      </c>
      <c r="D1287">
        <v>2022</v>
      </c>
      <c r="E1287" t="s">
        <v>60</v>
      </c>
      <c r="F1287">
        <v>8770</v>
      </c>
      <c r="G1287" t="s">
        <v>143</v>
      </c>
    </row>
    <row r="1288" spans="1:7" x14ac:dyDescent="0.35">
      <c r="A1288" t="s">
        <v>32</v>
      </c>
      <c r="B1288" t="s">
        <v>90</v>
      </c>
      <c r="C1288" t="s">
        <v>57</v>
      </c>
      <c r="D1288">
        <v>2022</v>
      </c>
      <c r="E1288" t="s">
        <v>61</v>
      </c>
      <c r="F1288">
        <v>8798</v>
      </c>
      <c r="G1288" t="s">
        <v>143</v>
      </c>
    </row>
    <row r="1289" spans="1:7" x14ac:dyDescent="0.35">
      <c r="A1289" t="s">
        <v>32</v>
      </c>
      <c r="B1289" t="s">
        <v>90</v>
      </c>
      <c r="C1289" t="s">
        <v>57</v>
      </c>
      <c r="D1289">
        <v>2022</v>
      </c>
      <c r="E1289" t="s">
        <v>63</v>
      </c>
      <c r="F1289">
        <v>9240</v>
      </c>
      <c r="G1289" t="s">
        <v>143</v>
      </c>
    </row>
    <row r="1290" spans="1:7" x14ac:dyDescent="0.35">
      <c r="A1290" t="s">
        <v>32</v>
      </c>
      <c r="B1290" t="s">
        <v>90</v>
      </c>
      <c r="C1290" t="s">
        <v>57</v>
      </c>
      <c r="D1290">
        <v>2022</v>
      </c>
      <c r="E1290" t="s">
        <v>144</v>
      </c>
      <c r="F1290">
        <v>8923</v>
      </c>
      <c r="G1290" t="s">
        <v>143</v>
      </c>
    </row>
    <row r="1291" spans="1:7" x14ac:dyDescent="0.35">
      <c r="A1291" t="s">
        <v>32</v>
      </c>
      <c r="B1291" t="s">
        <v>90</v>
      </c>
      <c r="C1291" t="s">
        <v>57</v>
      </c>
      <c r="D1291">
        <v>2023</v>
      </c>
      <c r="E1291" t="s">
        <v>60</v>
      </c>
      <c r="F1291">
        <v>9093</v>
      </c>
      <c r="G1291" t="s">
        <v>143</v>
      </c>
    </row>
    <row r="1292" spans="1:7" x14ac:dyDescent="0.35">
      <c r="A1292" t="s">
        <v>32</v>
      </c>
      <c r="B1292" t="s">
        <v>90</v>
      </c>
      <c r="C1292" t="s">
        <v>57</v>
      </c>
      <c r="D1292">
        <v>2023</v>
      </c>
      <c r="E1292" t="s">
        <v>61</v>
      </c>
      <c r="F1292">
        <v>9306</v>
      </c>
      <c r="G1292" t="s">
        <v>143</v>
      </c>
    </row>
    <row r="1293" spans="1:7" x14ac:dyDescent="0.35">
      <c r="A1293" t="s">
        <v>32</v>
      </c>
      <c r="B1293" t="s">
        <v>90</v>
      </c>
      <c r="C1293" t="s">
        <v>57</v>
      </c>
      <c r="D1293">
        <v>2023</v>
      </c>
      <c r="E1293" t="s">
        <v>63</v>
      </c>
      <c r="F1293">
        <v>9279</v>
      </c>
      <c r="G1293" t="s">
        <v>143</v>
      </c>
    </row>
    <row r="1294" spans="1:7" x14ac:dyDescent="0.35">
      <c r="A1294" t="s">
        <v>32</v>
      </c>
      <c r="B1294" t="s">
        <v>90</v>
      </c>
      <c r="C1294" t="s">
        <v>57</v>
      </c>
      <c r="D1294">
        <v>2023</v>
      </c>
      <c r="E1294" t="s">
        <v>144</v>
      </c>
      <c r="F1294">
        <v>9107</v>
      </c>
      <c r="G1294" t="s">
        <v>143</v>
      </c>
    </row>
    <row r="1295" spans="1:7" x14ac:dyDescent="0.35">
      <c r="A1295" t="s">
        <v>32</v>
      </c>
      <c r="B1295" t="s">
        <v>90</v>
      </c>
      <c r="C1295" t="s">
        <v>57</v>
      </c>
      <c r="D1295">
        <v>2024</v>
      </c>
      <c r="E1295" t="s">
        <v>60</v>
      </c>
      <c r="F1295">
        <v>9066</v>
      </c>
      <c r="G1295" t="s">
        <v>143</v>
      </c>
    </row>
    <row r="1296" spans="1:7" x14ac:dyDescent="0.35">
      <c r="A1296" t="s">
        <v>32</v>
      </c>
      <c r="B1296" t="s">
        <v>90</v>
      </c>
      <c r="C1296" t="s">
        <v>57</v>
      </c>
      <c r="D1296">
        <v>2024</v>
      </c>
      <c r="E1296" t="s">
        <v>61</v>
      </c>
      <c r="F1296">
        <v>9194</v>
      </c>
      <c r="G1296" t="s">
        <v>143</v>
      </c>
    </row>
    <row r="1297" spans="1:7" x14ac:dyDescent="0.35">
      <c r="A1297" t="s">
        <v>32</v>
      </c>
      <c r="B1297" t="s">
        <v>90</v>
      </c>
      <c r="C1297" t="s">
        <v>57</v>
      </c>
      <c r="D1297">
        <v>2024</v>
      </c>
      <c r="E1297" t="s">
        <v>63</v>
      </c>
      <c r="F1297">
        <v>9201</v>
      </c>
      <c r="G1297" t="s">
        <v>143</v>
      </c>
    </row>
    <row r="1298" spans="1:7" x14ac:dyDescent="0.35">
      <c r="A1298" t="s">
        <v>32</v>
      </c>
      <c r="B1298" t="s">
        <v>90</v>
      </c>
      <c r="C1298" t="s">
        <v>57</v>
      </c>
      <c r="D1298">
        <v>2024</v>
      </c>
      <c r="E1298" t="s">
        <v>144</v>
      </c>
      <c r="F1298">
        <v>9238</v>
      </c>
      <c r="G1298" t="s">
        <v>143</v>
      </c>
    </row>
    <row r="1299" spans="1:7" x14ac:dyDescent="0.35">
      <c r="A1299" t="s">
        <v>32</v>
      </c>
      <c r="B1299" t="s">
        <v>90</v>
      </c>
      <c r="C1299" t="s">
        <v>57</v>
      </c>
      <c r="D1299">
        <v>2025</v>
      </c>
      <c r="E1299" t="s">
        <v>60</v>
      </c>
      <c r="F1299">
        <v>8884</v>
      </c>
      <c r="G1299" t="s">
        <v>143</v>
      </c>
    </row>
    <row r="1300" spans="1:7" x14ac:dyDescent="0.35">
      <c r="A1300" t="s">
        <v>32</v>
      </c>
      <c r="B1300" t="s">
        <v>90</v>
      </c>
      <c r="C1300" t="s">
        <v>57</v>
      </c>
      <c r="D1300">
        <v>2025</v>
      </c>
      <c r="E1300" t="s">
        <v>61</v>
      </c>
      <c r="F1300">
        <v>9157</v>
      </c>
      <c r="G1300" t="s">
        <v>143</v>
      </c>
    </row>
    <row r="1301" spans="1:7" x14ac:dyDescent="0.35">
      <c r="A1301" t="s">
        <v>32</v>
      </c>
      <c r="B1301" t="s">
        <v>90</v>
      </c>
      <c r="C1301" t="s">
        <v>57</v>
      </c>
      <c r="D1301">
        <v>2025</v>
      </c>
      <c r="E1301" t="s">
        <v>63</v>
      </c>
      <c r="F1301">
        <v>9236</v>
      </c>
      <c r="G1301" t="s">
        <v>143</v>
      </c>
    </row>
    <row r="1302" spans="1:7" x14ac:dyDescent="0.35">
      <c r="A1302" t="s">
        <v>32</v>
      </c>
      <c r="B1302" t="s">
        <v>90</v>
      </c>
      <c r="C1302" t="s">
        <v>57</v>
      </c>
      <c r="D1302">
        <v>2025</v>
      </c>
      <c r="E1302" t="s">
        <v>144</v>
      </c>
      <c r="F1302">
        <v>9398</v>
      </c>
      <c r="G1302" t="s">
        <v>143</v>
      </c>
    </row>
    <row r="1303" spans="1:7" x14ac:dyDescent="0.35">
      <c r="A1303" t="s">
        <v>32</v>
      </c>
      <c r="B1303" t="s">
        <v>90</v>
      </c>
      <c r="C1303" t="s">
        <v>57</v>
      </c>
      <c r="D1303">
        <v>2026</v>
      </c>
      <c r="E1303" t="s">
        <v>60</v>
      </c>
      <c r="F1303">
        <v>9327</v>
      </c>
      <c r="G1303" t="s">
        <v>143</v>
      </c>
    </row>
    <row r="1304" spans="1:7" x14ac:dyDescent="0.35">
      <c r="A1304" t="s">
        <v>32</v>
      </c>
      <c r="B1304" t="s">
        <v>90</v>
      </c>
      <c r="C1304" t="s">
        <v>58</v>
      </c>
      <c r="D1304">
        <v>2022</v>
      </c>
      <c r="E1304" t="s">
        <v>60</v>
      </c>
      <c r="F1304">
        <v>1137</v>
      </c>
      <c r="G1304" t="s">
        <v>143</v>
      </c>
    </row>
    <row r="1305" spans="1:7" x14ac:dyDescent="0.35">
      <c r="A1305" t="s">
        <v>32</v>
      </c>
      <c r="B1305" t="s">
        <v>90</v>
      </c>
      <c r="C1305" t="s">
        <v>58</v>
      </c>
      <c r="D1305">
        <v>2022</v>
      </c>
      <c r="E1305" t="s">
        <v>61</v>
      </c>
      <c r="F1305">
        <v>2583</v>
      </c>
      <c r="G1305" t="s">
        <v>143</v>
      </c>
    </row>
    <row r="1306" spans="1:7" x14ac:dyDescent="0.35">
      <c r="A1306" t="s">
        <v>32</v>
      </c>
      <c r="B1306" t="s">
        <v>90</v>
      </c>
      <c r="C1306" t="s">
        <v>58</v>
      </c>
      <c r="D1306">
        <v>2022</v>
      </c>
      <c r="E1306" t="s">
        <v>63</v>
      </c>
      <c r="F1306">
        <v>1777</v>
      </c>
      <c r="G1306" t="s">
        <v>143</v>
      </c>
    </row>
    <row r="1307" spans="1:7" x14ac:dyDescent="0.35">
      <c r="A1307" t="s">
        <v>32</v>
      </c>
      <c r="B1307" t="s">
        <v>90</v>
      </c>
      <c r="C1307" t="s">
        <v>58</v>
      </c>
      <c r="D1307">
        <v>2022</v>
      </c>
      <c r="E1307" t="s">
        <v>144</v>
      </c>
      <c r="F1307">
        <v>2075</v>
      </c>
      <c r="G1307" t="s">
        <v>143</v>
      </c>
    </row>
    <row r="1308" spans="1:7" x14ac:dyDescent="0.35">
      <c r="A1308" t="s">
        <v>32</v>
      </c>
      <c r="B1308" t="s">
        <v>90</v>
      </c>
      <c r="C1308" t="s">
        <v>58</v>
      </c>
      <c r="D1308">
        <v>2023</v>
      </c>
      <c r="E1308" t="s">
        <v>60</v>
      </c>
      <c r="F1308">
        <v>855</v>
      </c>
      <c r="G1308" t="s">
        <v>143</v>
      </c>
    </row>
    <row r="1309" spans="1:7" x14ac:dyDescent="0.35">
      <c r="A1309" t="s">
        <v>32</v>
      </c>
      <c r="B1309" t="s">
        <v>90</v>
      </c>
      <c r="C1309" t="s">
        <v>58</v>
      </c>
      <c r="D1309">
        <v>2023</v>
      </c>
      <c r="E1309" t="s">
        <v>61</v>
      </c>
      <c r="F1309">
        <v>2091</v>
      </c>
      <c r="G1309" t="s">
        <v>143</v>
      </c>
    </row>
    <row r="1310" spans="1:7" x14ac:dyDescent="0.35">
      <c r="A1310" t="s">
        <v>32</v>
      </c>
      <c r="B1310" t="s">
        <v>90</v>
      </c>
      <c r="C1310" t="s">
        <v>58</v>
      </c>
      <c r="D1310">
        <v>2023</v>
      </c>
      <c r="E1310" t="s">
        <v>63</v>
      </c>
      <c r="F1310">
        <v>2777</v>
      </c>
      <c r="G1310" t="s">
        <v>143</v>
      </c>
    </row>
    <row r="1311" spans="1:7" x14ac:dyDescent="0.35">
      <c r="A1311" t="s">
        <v>32</v>
      </c>
      <c r="B1311" t="s">
        <v>90</v>
      </c>
      <c r="C1311" t="s">
        <v>58</v>
      </c>
      <c r="D1311">
        <v>2023</v>
      </c>
      <c r="E1311" t="s">
        <v>144</v>
      </c>
      <c r="F1311">
        <v>2116</v>
      </c>
      <c r="G1311" t="s">
        <v>143</v>
      </c>
    </row>
    <row r="1312" spans="1:7" x14ac:dyDescent="0.35">
      <c r="A1312" t="s">
        <v>32</v>
      </c>
      <c r="B1312" t="s">
        <v>90</v>
      </c>
      <c r="C1312" t="s">
        <v>58</v>
      </c>
      <c r="D1312">
        <v>2024</v>
      </c>
      <c r="E1312" t="s">
        <v>60</v>
      </c>
      <c r="F1312">
        <v>1280</v>
      </c>
      <c r="G1312" t="s">
        <v>143</v>
      </c>
    </row>
    <row r="1313" spans="1:7" x14ac:dyDescent="0.35">
      <c r="A1313" t="s">
        <v>32</v>
      </c>
      <c r="B1313" t="s">
        <v>90</v>
      </c>
      <c r="C1313" t="s">
        <v>58</v>
      </c>
      <c r="D1313">
        <v>2024</v>
      </c>
      <c r="E1313" t="s">
        <v>61</v>
      </c>
      <c r="F1313">
        <v>1953</v>
      </c>
      <c r="G1313" t="s">
        <v>143</v>
      </c>
    </row>
    <row r="1314" spans="1:7" x14ac:dyDescent="0.35">
      <c r="A1314" t="s">
        <v>32</v>
      </c>
      <c r="B1314" t="s">
        <v>90</v>
      </c>
      <c r="C1314" t="s">
        <v>58</v>
      </c>
      <c r="D1314">
        <v>2024</v>
      </c>
      <c r="E1314" t="s">
        <v>63</v>
      </c>
      <c r="F1314">
        <v>2028</v>
      </c>
      <c r="G1314" t="s">
        <v>143</v>
      </c>
    </row>
    <row r="1315" spans="1:7" x14ac:dyDescent="0.35">
      <c r="A1315" t="s">
        <v>32</v>
      </c>
      <c r="B1315" t="s">
        <v>90</v>
      </c>
      <c r="C1315" t="s">
        <v>58</v>
      </c>
      <c r="D1315">
        <v>2024</v>
      </c>
      <c r="E1315" t="s">
        <v>144</v>
      </c>
      <c r="F1315">
        <v>5904</v>
      </c>
      <c r="G1315" t="s">
        <v>143</v>
      </c>
    </row>
    <row r="1316" spans="1:7" x14ac:dyDescent="0.35">
      <c r="A1316" t="s">
        <v>32</v>
      </c>
      <c r="B1316" t="s">
        <v>90</v>
      </c>
      <c r="C1316" t="s">
        <v>58</v>
      </c>
      <c r="D1316">
        <v>2025</v>
      </c>
      <c r="E1316" t="s">
        <v>60</v>
      </c>
      <c r="F1316">
        <v>1134</v>
      </c>
      <c r="G1316" t="s">
        <v>143</v>
      </c>
    </row>
    <row r="1317" spans="1:7" x14ac:dyDescent="0.35">
      <c r="A1317" t="s">
        <v>32</v>
      </c>
      <c r="B1317" t="s">
        <v>90</v>
      </c>
      <c r="C1317" t="s">
        <v>58</v>
      </c>
      <c r="D1317">
        <v>2025</v>
      </c>
      <c r="E1317" t="s">
        <v>61</v>
      </c>
      <c r="F1317">
        <v>2050</v>
      </c>
      <c r="G1317" t="s">
        <v>143</v>
      </c>
    </row>
    <row r="1318" spans="1:7" x14ac:dyDescent="0.35">
      <c r="A1318" t="s">
        <v>32</v>
      </c>
      <c r="B1318" t="s">
        <v>90</v>
      </c>
      <c r="C1318" t="s">
        <v>58</v>
      </c>
      <c r="D1318">
        <v>2025</v>
      </c>
      <c r="E1318" t="s">
        <v>63</v>
      </c>
      <c r="F1318">
        <v>3822</v>
      </c>
      <c r="G1318" t="s">
        <v>143</v>
      </c>
    </row>
    <row r="1319" spans="1:7" x14ac:dyDescent="0.35">
      <c r="A1319" t="s">
        <v>32</v>
      </c>
      <c r="B1319" t="s">
        <v>90</v>
      </c>
      <c r="C1319" t="s">
        <v>58</v>
      </c>
      <c r="D1319">
        <v>2025</v>
      </c>
      <c r="E1319" t="s">
        <v>144</v>
      </c>
      <c r="F1319">
        <v>3885</v>
      </c>
      <c r="G1319" t="s">
        <v>143</v>
      </c>
    </row>
    <row r="1320" spans="1:7" x14ac:dyDescent="0.35">
      <c r="A1320" t="s">
        <v>32</v>
      </c>
      <c r="B1320" t="s">
        <v>90</v>
      </c>
      <c r="C1320" t="s">
        <v>58</v>
      </c>
      <c r="D1320">
        <v>2026</v>
      </c>
      <c r="E1320" t="s">
        <v>60</v>
      </c>
      <c r="F1320">
        <v>1348</v>
      </c>
      <c r="G1320" t="s">
        <v>143</v>
      </c>
    </row>
    <row r="1321" spans="1:7" x14ac:dyDescent="0.35">
      <c r="A1321" t="s">
        <v>32</v>
      </c>
      <c r="B1321" t="s">
        <v>90</v>
      </c>
      <c r="C1321" t="s">
        <v>59</v>
      </c>
      <c r="D1321">
        <v>2022</v>
      </c>
      <c r="E1321" t="s">
        <v>60</v>
      </c>
      <c r="F1321">
        <v>12288</v>
      </c>
      <c r="G1321" t="s">
        <v>143</v>
      </c>
    </row>
    <row r="1322" spans="1:7" x14ac:dyDescent="0.35">
      <c r="A1322" t="s">
        <v>32</v>
      </c>
      <c r="B1322" t="s">
        <v>90</v>
      </c>
      <c r="C1322" t="s">
        <v>59</v>
      </c>
      <c r="D1322">
        <v>2022</v>
      </c>
      <c r="E1322" t="s">
        <v>61</v>
      </c>
      <c r="F1322">
        <v>12166</v>
      </c>
      <c r="G1322" t="s">
        <v>143</v>
      </c>
    </row>
    <row r="1323" spans="1:7" x14ac:dyDescent="0.35">
      <c r="A1323" t="s">
        <v>32</v>
      </c>
      <c r="B1323" t="s">
        <v>90</v>
      </c>
      <c r="C1323" t="s">
        <v>59</v>
      </c>
      <c r="D1323">
        <v>2022</v>
      </c>
      <c r="E1323" t="s">
        <v>63</v>
      </c>
      <c r="F1323">
        <v>17166</v>
      </c>
      <c r="G1323" t="s">
        <v>143</v>
      </c>
    </row>
    <row r="1324" spans="1:7" x14ac:dyDescent="0.35">
      <c r="A1324" t="s">
        <v>32</v>
      </c>
      <c r="B1324" t="s">
        <v>90</v>
      </c>
      <c r="C1324" t="s">
        <v>59</v>
      </c>
      <c r="D1324">
        <v>2022</v>
      </c>
      <c r="E1324" t="s">
        <v>144</v>
      </c>
      <c r="F1324">
        <v>16355</v>
      </c>
      <c r="G1324" t="s">
        <v>143</v>
      </c>
    </row>
    <row r="1325" spans="1:7" x14ac:dyDescent="0.35">
      <c r="A1325" t="s">
        <v>32</v>
      </c>
      <c r="B1325" t="s">
        <v>90</v>
      </c>
      <c r="C1325" t="s">
        <v>59</v>
      </c>
      <c r="D1325">
        <v>2023</v>
      </c>
      <c r="E1325" t="s">
        <v>60</v>
      </c>
      <c r="F1325">
        <v>15419</v>
      </c>
      <c r="G1325" t="s">
        <v>143</v>
      </c>
    </row>
    <row r="1326" spans="1:7" x14ac:dyDescent="0.35">
      <c r="A1326" t="s">
        <v>32</v>
      </c>
      <c r="B1326" t="s">
        <v>90</v>
      </c>
      <c r="C1326" t="s">
        <v>59</v>
      </c>
      <c r="D1326">
        <v>2023</v>
      </c>
      <c r="E1326" t="s">
        <v>61</v>
      </c>
      <c r="F1326">
        <v>15733</v>
      </c>
      <c r="G1326" t="s">
        <v>143</v>
      </c>
    </row>
    <row r="1327" spans="1:7" x14ac:dyDescent="0.35">
      <c r="A1327" t="s">
        <v>32</v>
      </c>
      <c r="B1327" t="s">
        <v>90</v>
      </c>
      <c r="C1327" t="s">
        <v>59</v>
      </c>
      <c r="D1327">
        <v>2023</v>
      </c>
      <c r="E1327" t="s">
        <v>63</v>
      </c>
      <c r="F1327">
        <v>17410</v>
      </c>
      <c r="G1327" t="s">
        <v>143</v>
      </c>
    </row>
    <row r="1328" spans="1:7" x14ac:dyDescent="0.35">
      <c r="A1328" t="s">
        <v>32</v>
      </c>
      <c r="B1328" t="s">
        <v>90</v>
      </c>
      <c r="C1328" t="s">
        <v>59</v>
      </c>
      <c r="D1328">
        <v>2023</v>
      </c>
      <c r="E1328" t="s">
        <v>144</v>
      </c>
      <c r="F1328">
        <v>16367</v>
      </c>
      <c r="G1328" t="s">
        <v>143</v>
      </c>
    </row>
    <row r="1329" spans="1:7" x14ac:dyDescent="0.35">
      <c r="A1329" t="s">
        <v>32</v>
      </c>
      <c r="B1329" t="s">
        <v>90</v>
      </c>
      <c r="C1329" t="s">
        <v>59</v>
      </c>
      <c r="D1329">
        <v>2024</v>
      </c>
      <c r="E1329" t="s">
        <v>60</v>
      </c>
      <c r="F1329">
        <v>14909</v>
      </c>
      <c r="G1329" t="s">
        <v>143</v>
      </c>
    </row>
    <row r="1330" spans="1:7" x14ac:dyDescent="0.35">
      <c r="A1330" t="s">
        <v>32</v>
      </c>
      <c r="B1330" t="s">
        <v>90</v>
      </c>
      <c r="C1330" t="s">
        <v>59</v>
      </c>
      <c r="D1330">
        <v>2024</v>
      </c>
      <c r="E1330" t="s">
        <v>61</v>
      </c>
      <c r="F1330">
        <v>14383</v>
      </c>
      <c r="G1330" t="s">
        <v>143</v>
      </c>
    </row>
    <row r="1331" spans="1:7" x14ac:dyDescent="0.35">
      <c r="A1331" t="s">
        <v>32</v>
      </c>
      <c r="B1331" t="s">
        <v>90</v>
      </c>
      <c r="C1331" t="s">
        <v>59</v>
      </c>
      <c r="D1331">
        <v>2024</v>
      </c>
      <c r="E1331" t="s">
        <v>63</v>
      </c>
      <c r="F1331">
        <v>22999</v>
      </c>
      <c r="G1331" t="s">
        <v>143</v>
      </c>
    </row>
    <row r="1332" spans="1:7" x14ac:dyDescent="0.35">
      <c r="A1332" t="s">
        <v>32</v>
      </c>
      <c r="B1332" t="s">
        <v>90</v>
      </c>
      <c r="C1332" t="s">
        <v>59</v>
      </c>
      <c r="D1332">
        <v>2024</v>
      </c>
      <c r="E1332" t="s">
        <v>144</v>
      </c>
      <c r="F1332">
        <v>22436</v>
      </c>
      <c r="G1332" t="s">
        <v>143</v>
      </c>
    </row>
    <row r="1333" spans="1:7" x14ac:dyDescent="0.35">
      <c r="A1333" t="s">
        <v>32</v>
      </c>
      <c r="B1333" t="s">
        <v>90</v>
      </c>
      <c r="C1333" t="s">
        <v>59</v>
      </c>
      <c r="D1333">
        <v>2025</v>
      </c>
      <c r="E1333" t="s">
        <v>60</v>
      </c>
      <c r="F1333">
        <v>20914</v>
      </c>
      <c r="G1333" t="s">
        <v>143</v>
      </c>
    </row>
    <row r="1334" spans="1:7" x14ac:dyDescent="0.35">
      <c r="A1334" t="s">
        <v>32</v>
      </c>
      <c r="B1334" t="s">
        <v>90</v>
      </c>
      <c r="C1334" t="s">
        <v>59</v>
      </c>
      <c r="D1334">
        <v>2025</v>
      </c>
      <c r="E1334" t="s">
        <v>61</v>
      </c>
      <c r="F1334">
        <v>17624</v>
      </c>
      <c r="G1334" t="s">
        <v>143</v>
      </c>
    </row>
    <row r="1335" spans="1:7" x14ac:dyDescent="0.35">
      <c r="A1335" t="s">
        <v>32</v>
      </c>
      <c r="B1335" t="s">
        <v>90</v>
      </c>
      <c r="C1335" t="s">
        <v>59</v>
      </c>
      <c r="D1335">
        <v>2025</v>
      </c>
      <c r="E1335" t="s">
        <v>63</v>
      </c>
      <c r="F1335">
        <v>17986</v>
      </c>
      <c r="G1335" t="s">
        <v>143</v>
      </c>
    </row>
    <row r="1336" spans="1:7" x14ac:dyDescent="0.35">
      <c r="A1336" t="s">
        <v>32</v>
      </c>
      <c r="B1336" t="s">
        <v>90</v>
      </c>
      <c r="C1336" t="s">
        <v>59</v>
      </c>
      <c r="D1336">
        <v>2025</v>
      </c>
      <c r="E1336" t="s">
        <v>144</v>
      </c>
      <c r="F1336">
        <v>17610</v>
      </c>
      <c r="G1336" t="s">
        <v>143</v>
      </c>
    </row>
    <row r="1337" spans="1:7" x14ac:dyDescent="0.35">
      <c r="A1337" t="s">
        <v>32</v>
      </c>
      <c r="B1337" t="s">
        <v>90</v>
      </c>
      <c r="C1337" t="s">
        <v>59</v>
      </c>
      <c r="D1337">
        <v>2026</v>
      </c>
      <c r="E1337" t="s">
        <v>60</v>
      </c>
      <c r="F1337">
        <v>18779</v>
      </c>
      <c r="G1337" t="s">
        <v>143</v>
      </c>
    </row>
    <row r="1338" spans="1:7" x14ac:dyDescent="0.35">
      <c r="A1338" t="s">
        <v>33</v>
      </c>
      <c r="B1338" t="s">
        <v>91</v>
      </c>
      <c r="C1338" t="s">
        <v>57</v>
      </c>
      <c r="D1338">
        <v>2022</v>
      </c>
      <c r="E1338" t="s">
        <v>60</v>
      </c>
      <c r="F1338">
        <v>471</v>
      </c>
      <c r="G1338" t="s">
        <v>143</v>
      </c>
    </row>
    <row r="1339" spans="1:7" x14ac:dyDescent="0.35">
      <c r="A1339" t="s">
        <v>33</v>
      </c>
      <c r="B1339" t="s">
        <v>91</v>
      </c>
      <c r="C1339" t="s">
        <v>57</v>
      </c>
      <c r="D1339">
        <v>2022</v>
      </c>
      <c r="E1339" t="s">
        <v>61</v>
      </c>
      <c r="F1339">
        <v>335</v>
      </c>
      <c r="G1339" t="s">
        <v>143</v>
      </c>
    </row>
    <row r="1340" spans="1:7" x14ac:dyDescent="0.35">
      <c r="A1340" t="s">
        <v>33</v>
      </c>
      <c r="B1340" t="s">
        <v>91</v>
      </c>
      <c r="C1340" t="s">
        <v>57</v>
      </c>
      <c r="D1340">
        <v>2022</v>
      </c>
      <c r="E1340" t="s">
        <v>63</v>
      </c>
      <c r="F1340">
        <v>405</v>
      </c>
      <c r="G1340" t="s">
        <v>143</v>
      </c>
    </row>
    <row r="1341" spans="1:7" x14ac:dyDescent="0.35">
      <c r="A1341" t="s">
        <v>33</v>
      </c>
      <c r="B1341" t="s">
        <v>91</v>
      </c>
      <c r="C1341" t="s">
        <v>57</v>
      </c>
      <c r="D1341">
        <v>2022</v>
      </c>
      <c r="E1341" t="s">
        <v>144</v>
      </c>
      <c r="F1341">
        <v>373</v>
      </c>
      <c r="G1341" t="s">
        <v>143</v>
      </c>
    </row>
    <row r="1342" spans="1:7" x14ac:dyDescent="0.35">
      <c r="A1342" t="s">
        <v>33</v>
      </c>
      <c r="B1342" t="s">
        <v>91</v>
      </c>
      <c r="C1342" t="s">
        <v>57</v>
      </c>
      <c r="D1342">
        <v>2023</v>
      </c>
      <c r="E1342" t="s">
        <v>60</v>
      </c>
      <c r="F1342">
        <v>523</v>
      </c>
      <c r="G1342" t="s">
        <v>143</v>
      </c>
    </row>
    <row r="1343" spans="1:7" x14ac:dyDescent="0.35">
      <c r="A1343" t="s">
        <v>33</v>
      </c>
      <c r="B1343" t="s">
        <v>91</v>
      </c>
      <c r="C1343" t="s">
        <v>57</v>
      </c>
      <c r="D1343">
        <v>2023</v>
      </c>
      <c r="E1343" t="s">
        <v>61</v>
      </c>
      <c r="F1343">
        <v>480</v>
      </c>
      <c r="G1343" t="s">
        <v>143</v>
      </c>
    </row>
    <row r="1344" spans="1:7" x14ac:dyDescent="0.35">
      <c r="A1344" t="s">
        <v>33</v>
      </c>
      <c r="B1344" t="s">
        <v>91</v>
      </c>
      <c r="C1344" t="s">
        <v>57</v>
      </c>
      <c r="D1344">
        <v>2023</v>
      </c>
      <c r="E1344" t="s">
        <v>63</v>
      </c>
      <c r="F1344">
        <v>502</v>
      </c>
      <c r="G1344" t="s">
        <v>143</v>
      </c>
    </row>
    <row r="1345" spans="1:7" x14ac:dyDescent="0.35">
      <c r="A1345" t="s">
        <v>33</v>
      </c>
      <c r="B1345" t="s">
        <v>91</v>
      </c>
      <c r="C1345" t="s">
        <v>57</v>
      </c>
      <c r="D1345">
        <v>2023</v>
      </c>
      <c r="E1345" t="s">
        <v>144</v>
      </c>
      <c r="F1345">
        <v>513</v>
      </c>
      <c r="G1345" t="s">
        <v>143</v>
      </c>
    </row>
    <row r="1346" spans="1:7" x14ac:dyDescent="0.35">
      <c r="A1346" t="s">
        <v>33</v>
      </c>
      <c r="B1346" t="s">
        <v>91</v>
      </c>
      <c r="C1346" t="s">
        <v>57</v>
      </c>
      <c r="D1346">
        <v>2024</v>
      </c>
      <c r="E1346" t="s">
        <v>60</v>
      </c>
      <c r="F1346">
        <v>650</v>
      </c>
      <c r="G1346" t="s">
        <v>143</v>
      </c>
    </row>
    <row r="1347" spans="1:7" x14ac:dyDescent="0.35">
      <c r="A1347" t="s">
        <v>33</v>
      </c>
      <c r="B1347" t="s">
        <v>91</v>
      </c>
      <c r="C1347" t="s">
        <v>57</v>
      </c>
      <c r="D1347">
        <v>2024</v>
      </c>
      <c r="E1347" t="s">
        <v>61</v>
      </c>
      <c r="F1347">
        <v>559</v>
      </c>
      <c r="G1347" t="s">
        <v>143</v>
      </c>
    </row>
    <row r="1348" spans="1:7" x14ac:dyDescent="0.35">
      <c r="A1348" t="s">
        <v>33</v>
      </c>
      <c r="B1348" t="s">
        <v>91</v>
      </c>
      <c r="C1348" t="s">
        <v>57</v>
      </c>
      <c r="D1348">
        <v>2024</v>
      </c>
      <c r="E1348" t="s">
        <v>63</v>
      </c>
      <c r="F1348">
        <v>603</v>
      </c>
      <c r="G1348" t="s">
        <v>143</v>
      </c>
    </row>
    <row r="1349" spans="1:7" x14ac:dyDescent="0.35">
      <c r="A1349" t="s">
        <v>33</v>
      </c>
      <c r="B1349" t="s">
        <v>91</v>
      </c>
      <c r="C1349" t="s">
        <v>57</v>
      </c>
      <c r="D1349">
        <v>2024</v>
      </c>
      <c r="E1349" t="s">
        <v>144</v>
      </c>
      <c r="F1349">
        <v>552</v>
      </c>
      <c r="G1349" t="s">
        <v>143</v>
      </c>
    </row>
    <row r="1350" spans="1:7" x14ac:dyDescent="0.35">
      <c r="A1350" t="s">
        <v>33</v>
      </c>
      <c r="B1350" t="s">
        <v>91</v>
      </c>
      <c r="C1350" t="s">
        <v>57</v>
      </c>
      <c r="D1350">
        <v>2025</v>
      </c>
      <c r="E1350" t="s">
        <v>60</v>
      </c>
      <c r="F1350">
        <v>715</v>
      </c>
      <c r="G1350" t="s">
        <v>143</v>
      </c>
    </row>
    <row r="1351" spans="1:7" x14ac:dyDescent="0.35">
      <c r="A1351" t="s">
        <v>33</v>
      </c>
      <c r="B1351" t="s">
        <v>91</v>
      </c>
      <c r="C1351" t="s">
        <v>57</v>
      </c>
      <c r="D1351">
        <v>2025</v>
      </c>
      <c r="E1351" t="s">
        <v>61</v>
      </c>
      <c r="F1351">
        <v>618</v>
      </c>
      <c r="G1351" t="s">
        <v>143</v>
      </c>
    </row>
    <row r="1352" spans="1:7" x14ac:dyDescent="0.35">
      <c r="A1352" t="s">
        <v>33</v>
      </c>
      <c r="B1352" t="s">
        <v>91</v>
      </c>
      <c r="C1352" t="s">
        <v>57</v>
      </c>
      <c r="D1352">
        <v>2025</v>
      </c>
      <c r="E1352" t="s">
        <v>63</v>
      </c>
      <c r="F1352">
        <v>641</v>
      </c>
      <c r="G1352" t="s">
        <v>143</v>
      </c>
    </row>
    <row r="1353" spans="1:7" x14ac:dyDescent="0.35">
      <c r="A1353" t="s">
        <v>33</v>
      </c>
      <c r="B1353" t="s">
        <v>91</v>
      </c>
      <c r="C1353" t="s">
        <v>57</v>
      </c>
      <c r="D1353">
        <v>2025</v>
      </c>
      <c r="E1353" t="s">
        <v>144</v>
      </c>
      <c r="F1353">
        <v>458</v>
      </c>
      <c r="G1353" t="s">
        <v>143</v>
      </c>
    </row>
    <row r="1354" spans="1:7" x14ac:dyDescent="0.35">
      <c r="A1354" t="s">
        <v>33</v>
      </c>
      <c r="B1354" t="s">
        <v>91</v>
      </c>
      <c r="C1354" t="s">
        <v>57</v>
      </c>
      <c r="D1354">
        <v>2026</v>
      </c>
      <c r="E1354" t="s">
        <v>60</v>
      </c>
      <c r="F1354">
        <v>615</v>
      </c>
      <c r="G1354" t="s">
        <v>143</v>
      </c>
    </row>
    <row r="1355" spans="1:7" x14ac:dyDescent="0.35">
      <c r="A1355" t="s">
        <v>33</v>
      </c>
      <c r="B1355" t="s">
        <v>91</v>
      </c>
      <c r="C1355" t="s">
        <v>59</v>
      </c>
      <c r="D1355">
        <v>2022</v>
      </c>
      <c r="E1355" t="s">
        <v>60</v>
      </c>
      <c r="F1355">
        <v>2238</v>
      </c>
      <c r="G1355" t="s">
        <v>143</v>
      </c>
    </row>
    <row r="1356" spans="1:7" x14ac:dyDescent="0.35">
      <c r="A1356" t="s">
        <v>33</v>
      </c>
      <c r="B1356" t="s">
        <v>91</v>
      </c>
      <c r="C1356" t="s">
        <v>59</v>
      </c>
      <c r="D1356">
        <v>2022</v>
      </c>
      <c r="E1356" t="s">
        <v>61</v>
      </c>
      <c r="F1356">
        <v>2268</v>
      </c>
      <c r="G1356" t="s">
        <v>143</v>
      </c>
    </row>
    <row r="1357" spans="1:7" x14ac:dyDescent="0.35">
      <c r="A1357" t="s">
        <v>33</v>
      </c>
      <c r="B1357" t="s">
        <v>91</v>
      </c>
      <c r="C1357" t="s">
        <v>59</v>
      </c>
      <c r="D1357">
        <v>2022</v>
      </c>
      <c r="E1357" t="s">
        <v>63</v>
      </c>
      <c r="F1357">
        <v>2144</v>
      </c>
      <c r="G1357" t="s">
        <v>143</v>
      </c>
    </row>
    <row r="1358" spans="1:7" x14ac:dyDescent="0.35">
      <c r="A1358" t="s">
        <v>33</v>
      </c>
      <c r="B1358" t="s">
        <v>91</v>
      </c>
      <c r="C1358" t="s">
        <v>59</v>
      </c>
      <c r="D1358">
        <v>2022</v>
      </c>
      <c r="E1358" t="s">
        <v>144</v>
      </c>
      <c r="F1358">
        <v>2128</v>
      </c>
      <c r="G1358" t="s">
        <v>143</v>
      </c>
    </row>
    <row r="1359" spans="1:7" x14ac:dyDescent="0.35">
      <c r="A1359" t="s">
        <v>33</v>
      </c>
      <c r="B1359" t="s">
        <v>91</v>
      </c>
      <c r="C1359" t="s">
        <v>59</v>
      </c>
      <c r="D1359">
        <v>2023</v>
      </c>
      <c r="E1359" t="s">
        <v>60</v>
      </c>
      <c r="F1359">
        <v>2157</v>
      </c>
      <c r="G1359" t="s">
        <v>143</v>
      </c>
    </row>
    <row r="1360" spans="1:7" x14ac:dyDescent="0.35">
      <c r="A1360" t="s">
        <v>33</v>
      </c>
      <c r="B1360" t="s">
        <v>91</v>
      </c>
      <c r="C1360" t="s">
        <v>59</v>
      </c>
      <c r="D1360">
        <v>2023</v>
      </c>
      <c r="E1360" t="s">
        <v>61</v>
      </c>
      <c r="F1360">
        <v>2183</v>
      </c>
      <c r="G1360" t="s">
        <v>143</v>
      </c>
    </row>
    <row r="1361" spans="1:7" x14ac:dyDescent="0.35">
      <c r="A1361" t="s">
        <v>33</v>
      </c>
      <c r="B1361" t="s">
        <v>91</v>
      </c>
      <c r="C1361" t="s">
        <v>59</v>
      </c>
      <c r="D1361">
        <v>2023</v>
      </c>
      <c r="E1361" t="s">
        <v>63</v>
      </c>
      <c r="F1361">
        <v>2062</v>
      </c>
      <c r="G1361" t="s">
        <v>143</v>
      </c>
    </row>
    <row r="1362" spans="1:7" x14ac:dyDescent="0.35">
      <c r="A1362" t="s">
        <v>33</v>
      </c>
      <c r="B1362" t="s">
        <v>91</v>
      </c>
      <c r="C1362" t="s">
        <v>59</v>
      </c>
      <c r="D1362">
        <v>2023</v>
      </c>
      <c r="E1362" t="s">
        <v>144</v>
      </c>
      <c r="F1362">
        <v>1713</v>
      </c>
      <c r="G1362" t="s">
        <v>143</v>
      </c>
    </row>
    <row r="1363" spans="1:7" x14ac:dyDescent="0.35">
      <c r="A1363" t="s">
        <v>33</v>
      </c>
      <c r="B1363" t="s">
        <v>91</v>
      </c>
      <c r="C1363" t="s">
        <v>59</v>
      </c>
      <c r="D1363">
        <v>2024</v>
      </c>
      <c r="E1363" t="s">
        <v>60</v>
      </c>
      <c r="F1363">
        <v>1655</v>
      </c>
      <c r="G1363" t="s">
        <v>143</v>
      </c>
    </row>
    <row r="1364" spans="1:7" x14ac:dyDescent="0.35">
      <c r="A1364" t="s">
        <v>33</v>
      </c>
      <c r="B1364" t="s">
        <v>91</v>
      </c>
      <c r="C1364" t="s">
        <v>59</v>
      </c>
      <c r="D1364">
        <v>2024</v>
      </c>
      <c r="E1364" t="s">
        <v>61</v>
      </c>
      <c r="F1364">
        <v>1376</v>
      </c>
      <c r="G1364" t="s">
        <v>143</v>
      </c>
    </row>
    <row r="1365" spans="1:7" x14ac:dyDescent="0.35">
      <c r="A1365" t="s">
        <v>33</v>
      </c>
      <c r="B1365" t="s">
        <v>91</v>
      </c>
      <c r="C1365" t="s">
        <v>59</v>
      </c>
      <c r="D1365">
        <v>2024</v>
      </c>
      <c r="E1365" t="s">
        <v>63</v>
      </c>
      <c r="F1365">
        <v>1490</v>
      </c>
      <c r="G1365" t="s">
        <v>143</v>
      </c>
    </row>
    <row r="1366" spans="1:7" x14ac:dyDescent="0.35">
      <c r="A1366" t="s">
        <v>33</v>
      </c>
      <c r="B1366" t="s">
        <v>91</v>
      </c>
      <c r="C1366" t="s">
        <v>59</v>
      </c>
      <c r="D1366">
        <v>2024</v>
      </c>
      <c r="E1366" t="s">
        <v>144</v>
      </c>
      <c r="F1366">
        <v>1137</v>
      </c>
      <c r="G1366" t="s">
        <v>143</v>
      </c>
    </row>
    <row r="1367" spans="1:7" x14ac:dyDescent="0.35">
      <c r="A1367" t="s">
        <v>33</v>
      </c>
      <c r="B1367" t="s">
        <v>91</v>
      </c>
      <c r="C1367" t="s">
        <v>59</v>
      </c>
      <c r="D1367">
        <v>2025</v>
      </c>
      <c r="E1367" t="s">
        <v>60</v>
      </c>
      <c r="F1367">
        <v>1060</v>
      </c>
      <c r="G1367" t="s">
        <v>143</v>
      </c>
    </row>
    <row r="1368" spans="1:7" x14ac:dyDescent="0.35">
      <c r="A1368" t="s">
        <v>33</v>
      </c>
      <c r="B1368" t="s">
        <v>91</v>
      </c>
      <c r="C1368" t="s">
        <v>59</v>
      </c>
      <c r="D1368">
        <v>2025</v>
      </c>
      <c r="E1368" t="s">
        <v>61</v>
      </c>
      <c r="F1368">
        <v>939</v>
      </c>
      <c r="G1368" t="s">
        <v>143</v>
      </c>
    </row>
    <row r="1369" spans="1:7" x14ac:dyDescent="0.35">
      <c r="A1369" t="s">
        <v>33</v>
      </c>
      <c r="B1369" t="s">
        <v>91</v>
      </c>
      <c r="C1369" t="s">
        <v>59</v>
      </c>
      <c r="D1369">
        <v>2025</v>
      </c>
      <c r="E1369" t="s">
        <v>63</v>
      </c>
      <c r="F1369">
        <v>1019</v>
      </c>
      <c r="G1369" t="s">
        <v>143</v>
      </c>
    </row>
    <row r="1370" spans="1:7" x14ac:dyDescent="0.35">
      <c r="A1370" t="s">
        <v>33</v>
      </c>
      <c r="B1370" t="s">
        <v>91</v>
      </c>
      <c r="C1370" t="s">
        <v>59</v>
      </c>
      <c r="D1370">
        <v>2025</v>
      </c>
      <c r="E1370" t="s">
        <v>144</v>
      </c>
      <c r="F1370">
        <v>1303</v>
      </c>
      <c r="G1370" t="s">
        <v>143</v>
      </c>
    </row>
    <row r="1371" spans="1:7" x14ac:dyDescent="0.35">
      <c r="A1371" t="s">
        <v>33</v>
      </c>
      <c r="B1371" t="s">
        <v>91</v>
      </c>
      <c r="C1371" t="s">
        <v>59</v>
      </c>
      <c r="D1371">
        <v>2026</v>
      </c>
      <c r="E1371" t="s">
        <v>60</v>
      </c>
      <c r="F1371">
        <v>1278</v>
      </c>
      <c r="G1371" t="s">
        <v>143</v>
      </c>
    </row>
    <row r="1372" spans="1:7" x14ac:dyDescent="0.35">
      <c r="A1372" t="s">
        <v>34</v>
      </c>
      <c r="B1372" t="s">
        <v>92</v>
      </c>
      <c r="C1372" t="s">
        <v>57</v>
      </c>
      <c r="D1372">
        <v>2022</v>
      </c>
      <c r="E1372" t="s">
        <v>60</v>
      </c>
      <c r="F1372">
        <v>509</v>
      </c>
      <c r="G1372" t="s">
        <v>143</v>
      </c>
    </row>
    <row r="1373" spans="1:7" x14ac:dyDescent="0.35">
      <c r="A1373" t="s">
        <v>34</v>
      </c>
      <c r="B1373" t="s">
        <v>92</v>
      </c>
      <c r="C1373" t="s">
        <v>57</v>
      </c>
      <c r="D1373">
        <v>2022</v>
      </c>
      <c r="E1373" t="s">
        <v>61</v>
      </c>
      <c r="F1373">
        <v>301</v>
      </c>
      <c r="G1373" t="s">
        <v>143</v>
      </c>
    </row>
    <row r="1374" spans="1:7" x14ac:dyDescent="0.35">
      <c r="A1374" t="s">
        <v>34</v>
      </c>
      <c r="B1374" t="s">
        <v>92</v>
      </c>
      <c r="C1374" t="s">
        <v>57</v>
      </c>
      <c r="D1374">
        <v>2022</v>
      </c>
      <c r="E1374" t="s">
        <v>63</v>
      </c>
      <c r="F1374">
        <v>327</v>
      </c>
      <c r="G1374" t="s">
        <v>143</v>
      </c>
    </row>
    <row r="1375" spans="1:7" x14ac:dyDescent="0.35">
      <c r="A1375" t="s">
        <v>34</v>
      </c>
      <c r="B1375" t="s">
        <v>92</v>
      </c>
      <c r="C1375" t="s">
        <v>57</v>
      </c>
      <c r="D1375">
        <v>2022</v>
      </c>
      <c r="E1375" t="s">
        <v>144</v>
      </c>
      <c r="F1375">
        <v>257</v>
      </c>
      <c r="G1375" t="s">
        <v>143</v>
      </c>
    </row>
    <row r="1376" spans="1:7" x14ac:dyDescent="0.35">
      <c r="A1376" t="s">
        <v>34</v>
      </c>
      <c r="B1376" t="s">
        <v>92</v>
      </c>
      <c r="C1376" t="s">
        <v>57</v>
      </c>
      <c r="D1376">
        <v>2023</v>
      </c>
      <c r="E1376" t="s">
        <v>60</v>
      </c>
      <c r="F1376">
        <v>572</v>
      </c>
      <c r="G1376" t="s">
        <v>143</v>
      </c>
    </row>
    <row r="1377" spans="1:7" x14ac:dyDescent="0.35">
      <c r="A1377" t="s">
        <v>34</v>
      </c>
      <c r="B1377" t="s">
        <v>92</v>
      </c>
      <c r="C1377" t="s">
        <v>57</v>
      </c>
      <c r="D1377">
        <v>2023</v>
      </c>
      <c r="E1377" t="s">
        <v>61</v>
      </c>
      <c r="F1377">
        <v>833</v>
      </c>
      <c r="G1377" t="s">
        <v>143</v>
      </c>
    </row>
    <row r="1378" spans="1:7" x14ac:dyDescent="0.35">
      <c r="A1378" t="s">
        <v>34</v>
      </c>
      <c r="B1378" t="s">
        <v>92</v>
      </c>
      <c r="C1378" t="s">
        <v>57</v>
      </c>
      <c r="D1378">
        <v>2023</v>
      </c>
      <c r="E1378" t="s">
        <v>63</v>
      </c>
      <c r="F1378">
        <v>346</v>
      </c>
      <c r="G1378" t="s">
        <v>143</v>
      </c>
    </row>
    <row r="1379" spans="1:7" x14ac:dyDescent="0.35">
      <c r="A1379" t="s">
        <v>34</v>
      </c>
      <c r="B1379" t="s">
        <v>92</v>
      </c>
      <c r="C1379" t="s">
        <v>57</v>
      </c>
      <c r="D1379">
        <v>2023</v>
      </c>
      <c r="E1379" t="s">
        <v>144</v>
      </c>
      <c r="F1379">
        <v>348</v>
      </c>
      <c r="G1379" t="s">
        <v>143</v>
      </c>
    </row>
    <row r="1380" spans="1:7" x14ac:dyDescent="0.35">
      <c r="A1380" t="s">
        <v>34</v>
      </c>
      <c r="B1380" t="s">
        <v>92</v>
      </c>
      <c r="C1380" t="s">
        <v>57</v>
      </c>
      <c r="D1380">
        <v>2024</v>
      </c>
      <c r="E1380" t="s">
        <v>60</v>
      </c>
      <c r="F1380">
        <v>689</v>
      </c>
      <c r="G1380" t="s">
        <v>143</v>
      </c>
    </row>
    <row r="1381" spans="1:7" x14ac:dyDescent="0.35">
      <c r="A1381" t="s">
        <v>34</v>
      </c>
      <c r="B1381" t="s">
        <v>92</v>
      </c>
      <c r="C1381" t="s">
        <v>57</v>
      </c>
      <c r="D1381">
        <v>2024</v>
      </c>
      <c r="E1381" t="s">
        <v>61</v>
      </c>
      <c r="F1381">
        <v>998</v>
      </c>
      <c r="G1381" t="s">
        <v>143</v>
      </c>
    </row>
    <row r="1382" spans="1:7" x14ac:dyDescent="0.35">
      <c r="A1382" t="s">
        <v>34</v>
      </c>
      <c r="B1382" t="s">
        <v>92</v>
      </c>
      <c r="C1382" t="s">
        <v>57</v>
      </c>
      <c r="D1382">
        <v>2024</v>
      </c>
      <c r="E1382" t="s">
        <v>63</v>
      </c>
      <c r="F1382">
        <v>249</v>
      </c>
      <c r="G1382" t="s">
        <v>143</v>
      </c>
    </row>
    <row r="1383" spans="1:7" x14ac:dyDescent="0.35">
      <c r="A1383" t="s">
        <v>34</v>
      </c>
      <c r="B1383" t="s">
        <v>92</v>
      </c>
      <c r="C1383" t="s">
        <v>57</v>
      </c>
      <c r="D1383">
        <v>2024</v>
      </c>
      <c r="E1383" t="s">
        <v>144</v>
      </c>
      <c r="F1383">
        <v>653</v>
      </c>
      <c r="G1383" t="s">
        <v>143</v>
      </c>
    </row>
    <row r="1384" spans="1:7" x14ac:dyDescent="0.35">
      <c r="A1384" t="s">
        <v>34</v>
      </c>
      <c r="B1384" t="s">
        <v>92</v>
      </c>
      <c r="C1384" t="s">
        <v>57</v>
      </c>
      <c r="D1384">
        <v>2025</v>
      </c>
      <c r="E1384" t="s">
        <v>60</v>
      </c>
      <c r="F1384">
        <v>722</v>
      </c>
      <c r="G1384" t="s">
        <v>143</v>
      </c>
    </row>
    <row r="1385" spans="1:7" x14ac:dyDescent="0.35">
      <c r="A1385" t="s">
        <v>34</v>
      </c>
      <c r="B1385" t="s">
        <v>92</v>
      </c>
      <c r="C1385" t="s">
        <v>57</v>
      </c>
      <c r="D1385">
        <v>2025</v>
      </c>
      <c r="E1385" t="s">
        <v>61</v>
      </c>
      <c r="F1385">
        <v>575</v>
      </c>
      <c r="G1385" t="s">
        <v>143</v>
      </c>
    </row>
    <row r="1386" spans="1:7" x14ac:dyDescent="0.35">
      <c r="A1386" t="s">
        <v>34</v>
      </c>
      <c r="B1386" t="s">
        <v>92</v>
      </c>
      <c r="C1386" t="s">
        <v>57</v>
      </c>
      <c r="D1386">
        <v>2025</v>
      </c>
      <c r="E1386" t="s">
        <v>63</v>
      </c>
      <c r="F1386">
        <v>353</v>
      </c>
      <c r="G1386" t="s">
        <v>143</v>
      </c>
    </row>
    <row r="1387" spans="1:7" x14ac:dyDescent="0.35">
      <c r="A1387" t="s">
        <v>34</v>
      </c>
      <c r="B1387" t="s">
        <v>92</v>
      </c>
      <c r="C1387" t="s">
        <v>57</v>
      </c>
      <c r="D1387">
        <v>2025</v>
      </c>
      <c r="E1387" t="s">
        <v>144</v>
      </c>
      <c r="F1387">
        <v>1059</v>
      </c>
      <c r="G1387" t="s">
        <v>143</v>
      </c>
    </row>
    <row r="1388" spans="1:7" x14ac:dyDescent="0.35">
      <c r="A1388" t="s">
        <v>34</v>
      </c>
      <c r="B1388" t="s">
        <v>92</v>
      </c>
      <c r="C1388" t="s">
        <v>57</v>
      </c>
      <c r="D1388">
        <v>2026</v>
      </c>
      <c r="E1388" t="s">
        <v>60</v>
      </c>
      <c r="F1388">
        <v>758</v>
      </c>
      <c r="G1388" t="s">
        <v>143</v>
      </c>
    </row>
    <row r="1389" spans="1:7" x14ac:dyDescent="0.35">
      <c r="A1389" t="s">
        <v>34</v>
      </c>
      <c r="B1389" t="s">
        <v>92</v>
      </c>
      <c r="C1389" t="s">
        <v>59</v>
      </c>
      <c r="D1389">
        <v>2022</v>
      </c>
      <c r="E1389" t="s">
        <v>60</v>
      </c>
      <c r="F1389">
        <v>4340</v>
      </c>
      <c r="G1389" t="s">
        <v>143</v>
      </c>
    </row>
    <row r="1390" spans="1:7" x14ac:dyDescent="0.35">
      <c r="A1390" t="s">
        <v>34</v>
      </c>
      <c r="B1390" t="s">
        <v>92</v>
      </c>
      <c r="C1390" t="s">
        <v>59</v>
      </c>
      <c r="D1390">
        <v>2022</v>
      </c>
      <c r="E1390" t="s">
        <v>61</v>
      </c>
      <c r="F1390">
        <v>4500</v>
      </c>
      <c r="G1390" t="s">
        <v>143</v>
      </c>
    </row>
    <row r="1391" spans="1:7" x14ac:dyDescent="0.35">
      <c r="A1391" t="s">
        <v>34</v>
      </c>
      <c r="B1391" t="s">
        <v>92</v>
      </c>
      <c r="C1391" t="s">
        <v>59</v>
      </c>
      <c r="D1391">
        <v>2022</v>
      </c>
      <c r="E1391" t="s">
        <v>63</v>
      </c>
      <c r="F1391">
        <v>4600</v>
      </c>
      <c r="G1391" t="s">
        <v>143</v>
      </c>
    </row>
    <row r="1392" spans="1:7" x14ac:dyDescent="0.35">
      <c r="A1392" t="s">
        <v>34</v>
      </c>
      <c r="B1392" t="s">
        <v>92</v>
      </c>
      <c r="C1392" t="s">
        <v>59</v>
      </c>
      <c r="D1392">
        <v>2022</v>
      </c>
      <c r="E1392" t="s">
        <v>144</v>
      </c>
      <c r="F1392">
        <v>4600</v>
      </c>
      <c r="G1392" t="s">
        <v>143</v>
      </c>
    </row>
    <row r="1393" spans="1:7" x14ac:dyDescent="0.35">
      <c r="A1393" t="s">
        <v>34</v>
      </c>
      <c r="B1393" t="s">
        <v>92</v>
      </c>
      <c r="C1393" t="s">
        <v>59</v>
      </c>
      <c r="D1393">
        <v>2023</v>
      </c>
      <c r="E1393" t="s">
        <v>60</v>
      </c>
      <c r="F1393">
        <v>4600</v>
      </c>
      <c r="G1393" t="s">
        <v>143</v>
      </c>
    </row>
    <row r="1394" spans="1:7" x14ac:dyDescent="0.35">
      <c r="A1394" t="s">
        <v>34</v>
      </c>
      <c r="B1394" t="s">
        <v>92</v>
      </c>
      <c r="C1394" t="s">
        <v>59</v>
      </c>
      <c r="D1394">
        <v>2023</v>
      </c>
      <c r="E1394" t="s">
        <v>61</v>
      </c>
      <c r="F1394">
        <v>4700</v>
      </c>
      <c r="G1394" t="s">
        <v>143</v>
      </c>
    </row>
    <row r="1395" spans="1:7" x14ac:dyDescent="0.35">
      <c r="A1395" t="s">
        <v>34</v>
      </c>
      <c r="B1395" t="s">
        <v>92</v>
      </c>
      <c r="C1395" t="s">
        <v>59</v>
      </c>
      <c r="D1395">
        <v>2023</v>
      </c>
      <c r="E1395" t="s">
        <v>63</v>
      </c>
      <c r="F1395">
        <v>4700</v>
      </c>
      <c r="G1395" t="s">
        <v>143</v>
      </c>
    </row>
    <row r="1396" spans="1:7" x14ac:dyDescent="0.35">
      <c r="A1396" t="s">
        <v>34</v>
      </c>
      <c r="B1396" t="s">
        <v>92</v>
      </c>
      <c r="C1396" t="s">
        <v>59</v>
      </c>
      <c r="D1396">
        <v>2023</v>
      </c>
      <c r="E1396" t="s">
        <v>144</v>
      </c>
      <c r="F1396">
        <v>4300</v>
      </c>
      <c r="G1396" t="s">
        <v>143</v>
      </c>
    </row>
    <row r="1397" spans="1:7" x14ac:dyDescent="0.35">
      <c r="A1397" t="s">
        <v>34</v>
      </c>
      <c r="B1397" t="s">
        <v>92</v>
      </c>
      <c r="C1397" t="s">
        <v>59</v>
      </c>
      <c r="D1397">
        <v>2024</v>
      </c>
      <c r="E1397" t="s">
        <v>60</v>
      </c>
      <c r="F1397">
        <v>4200</v>
      </c>
      <c r="G1397" t="s">
        <v>143</v>
      </c>
    </row>
    <row r="1398" spans="1:7" x14ac:dyDescent="0.35">
      <c r="A1398" t="s">
        <v>34</v>
      </c>
      <c r="B1398" t="s">
        <v>92</v>
      </c>
      <c r="C1398" t="s">
        <v>59</v>
      </c>
      <c r="D1398">
        <v>2024</v>
      </c>
      <c r="E1398" t="s">
        <v>61</v>
      </c>
      <c r="F1398">
        <v>4300</v>
      </c>
      <c r="G1398" t="s">
        <v>143</v>
      </c>
    </row>
    <row r="1399" spans="1:7" x14ac:dyDescent="0.35">
      <c r="A1399" t="s">
        <v>34</v>
      </c>
      <c r="B1399" t="s">
        <v>92</v>
      </c>
      <c r="C1399" t="s">
        <v>59</v>
      </c>
      <c r="D1399">
        <v>2024</v>
      </c>
      <c r="E1399" t="s">
        <v>63</v>
      </c>
      <c r="F1399">
        <v>4200</v>
      </c>
      <c r="G1399" t="s">
        <v>143</v>
      </c>
    </row>
    <row r="1400" spans="1:7" x14ac:dyDescent="0.35">
      <c r="A1400" t="s">
        <v>34</v>
      </c>
      <c r="B1400" t="s">
        <v>92</v>
      </c>
      <c r="C1400" t="s">
        <v>59</v>
      </c>
      <c r="D1400">
        <v>2024</v>
      </c>
      <c r="E1400" t="s">
        <v>144</v>
      </c>
      <c r="F1400">
        <v>4100</v>
      </c>
      <c r="G1400" t="s">
        <v>143</v>
      </c>
    </row>
    <row r="1401" spans="1:7" x14ac:dyDescent="0.35">
      <c r="A1401" t="s">
        <v>34</v>
      </c>
      <c r="B1401" t="s">
        <v>92</v>
      </c>
      <c r="C1401" t="s">
        <v>59</v>
      </c>
      <c r="D1401">
        <v>2025</v>
      </c>
      <c r="E1401" t="s">
        <v>60</v>
      </c>
      <c r="F1401">
        <v>3900</v>
      </c>
      <c r="G1401" t="s">
        <v>143</v>
      </c>
    </row>
    <row r="1402" spans="1:7" x14ac:dyDescent="0.35">
      <c r="A1402" t="s">
        <v>34</v>
      </c>
      <c r="B1402" t="s">
        <v>92</v>
      </c>
      <c r="C1402" t="s">
        <v>59</v>
      </c>
      <c r="D1402">
        <v>2025</v>
      </c>
      <c r="E1402" t="s">
        <v>61</v>
      </c>
      <c r="F1402">
        <v>4100</v>
      </c>
      <c r="G1402" t="s">
        <v>143</v>
      </c>
    </row>
    <row r="1403" spans="1:7" x14ac:dyDescent="0.35">
      <c r="A1403" t="s">
        <v>34</v>
      </c>
      <c r="B1403" t="s">
        <v>92</v>
      </c>
      <c r="C1403" t="s">
        <v>59</v>
      </c>
      <c r="D1403">
        <v>2025</v>
      </c>
      <c r="E1403" t="s">
        <v>63</v>
      </c>
      <c r="F1403">
        <v>4100</v>
      </c>
      <c r="G1403" t="s">
        <v>143</v>
      </c>
    </row>
    <row r="1404" spans="1:7" x14ac:dyDescent="0.35">
      <c r="A1404" t="s">
        <v>34</v>
      </c>
      <c r="B1404" t="s">
        <v>92</v>
      </c>
      <c r="C1404" t="s">
        <v>59</v>
      </c>
      <c r="D1404">
        <v>2026</v>
      </c>
      <c r="E1404" t="s">
        <v>60</v>
      </c>
      <c r="F1404">
        <v>4600</v>
      </c>
      <c r="G1404" t="s">
        <v>143</v>
      </c>
    </row>
    <row r="1405" spans="1:7" x14ac:dyDescent="0.35">
      <c r="A1405" t="s">
        <v>35</v>
      </c>
      <c r="B1405" t="s">
        <v>93</v>
      </c>
      <c r="C1405" t="s">
        <v>57</v>
      </c>
      <c r="D1405">
        <v>2022</v>
      </c>
      <c r="E1405" t="s">
        <v>60</v>
      </c>
      <c r="F1405">
        <v>45</v>
      </c>
      <c r="G1405" t="s">
        <v>143</v>
      </c>
    </row>
    <row r="1406" spans="1:7" x14ac:dyDescent="0.35">
      <c r="A1406" t="s">
        <v>35</v>
      </c>
      <c r="B1406" t="s">
        <v>93</v>
      </c>
      <c r="C1406" t="s">
        <v>57</v>
      </c>
      <c r="D1406">
        <v>2022</v>
      </c>
      <c r="E1406" t="s">
        <v>61</v>
      </c>
      <c r="F1406">
        <v>242</v>
      </c>
      <c r="G1406" t="s">
        <v>143</v>
      </c>
    </row>
    <row r="1407" spans="1:7" x14ac:dyDescent="0.35">
      <c r="A1407" t="s">
        <v>35</v>
      </c>
      <c r="B1407" t="s">
        <v>93</v>
      </c>
      <c r="C1407" t="s">
        <v>57</v>
      </c>
      <c r="D1407">
        <v>2022</v>
      </c>
      <c r="E1407" t="s">
        <v>63</v>
      </c>
      <c r="F1407">
        <v>107</v>
      </c>
      <c r="G1407" t="s">
        <v>143</v>
      </c>
    </row>
    <row r="1408" spans="1:7" x14ac:dyDescent="0.35">
      <c r="A1408" t="s">
        <v>35</v>
      </c>
      <c r="B1408" t="s">
        <v>93</v>
      </c>
      <c r="C1408" t="s">
        <v>57</v>
      </c>
      <c r="D1408">
        <v>2022</v>
      </c>
      <c r="E1408" t="s">
        <v>144</v>
      </c>
      <c r="F1408">
        <v>142</v>
      </c>
      <c r="G1408" t="s">
        <v>143</v>
      </c>
    </row>
    <row r="1409" spans="1:7" x14ac:dyDescent="0.35">
      <c r="A1409" t="s">
        <v>35</v>
      </c>
      <c r="B1409" t="s">
        <v>93</v>
      </c>
      <c r="C1409" t="s">
        <v>57</v>
      </c>
      <c r="D1409">
        <v>2023</v>
      </c>
      <c r="E1409" t="s">
        <v>60</v>
      </c>
      <c r="F1409">
        <v>51</v>
      </c>
      <c r="G1409" t="s">
        <v>143</v>
      </c>
    </row>
    <row r="1410" spans="1:7" x14ac:dyDescent="0.35">
      <c r="A1410" t="s">
        <v>35</v>
      </c>
      <c r="B1410" t="s">
        <v>93</v>
      </c>
      <c r="C1410" t="s">
        <v>57</v>
      </c>
      <c r="D1410">
        <v>2023</v>
      </c>
      <c r="E1410" t="s">
        <v>61</v>
      </c>
      <c r="F1410">
        <v>202</v>
      </c>
      <c r="G1410" t="s">
        <v>143</v>
      </c>
    </row>
    <row r="1411" spans="1:7" x14ac:dyDescent="0.35">
      <c r="A1411" t="s">
        <v>35</v>
      </c>
      <c r="B1411" t="s">
        <v>93</v>
      </c>
      <c r="C1411" t="s">
        <v>57</v>
      </c>
      <c r="D1411">
        <v>2023</v>
      </c>
      <c r="E1411" t="s">
        <v>63</v>
      </c>
      <c r="F1411">
        <v>117</v>
      </c>
      <c r="G1411" t="s">
        <v>143</v>
      </c>
    </row>
    <row r="1412" spans="1:7" x14ac:dyDescent="0.35">
      <c r="A1412" t="s">
        <v>35</v>
      </c>
      <c r="B1412" t="s">
        <v>93</v>
      </c>
      <c r="C1412" t="s">
        <v>57</v>
      </c>
      <c r="D1412">
        <v>2023</v>
      </c>
      <c r="E1412" t="s">
        <v>144</v>
      </c>
      <c r="F1412">
        <v>50</v>
      </c>
      <c r="G1412" t="s">
        <v>143</v>
      </c>
    </row>
    <row r="1413" spans="1:7" x14ac:dyDescent="0.35">
      <c r="A1413" t="s">
        <v>35</v>
      </c>
      <c r="B1413" t="s">
        <v>93</v>
      </c>
      <c r="C1413" t="s">
        <v>57</v>
      </c>
      <c r="D1413">
        <v>2024</v>
      </c>
      <c r="E1413" t="s">
        <v>60</v>
      </c>
      <c r="F1413">
        <v>54</v>
      </c>
      <c r="G1413" t="s">
        <v>143</v>
      </c>
    </row>
    <row r="1414" spans="1:7" x14ac:dyDescent="0.35">
      <c r="A1414" t="s">
        <v>35</v>
      </c>
      <c r="B1414" t="s">
        <v>93</v>
      </c>
      <c r="C1414" t="s">
        <v>57</v>
      </c>
      <c r="D1414">
        <v>2024</v>
      </c>
      <c r="E1414" t="s">
        <v>61</v>
      </c>
      <c r="F1414">
        <v>38</v>
      </c>
      <c r="G1414" t="s">
        <v>143</v>
      </c>
    </row>
    <row r="1415" spans="1:7" x14ac:dyDescent="0.35">
      <c r="A1415" t="s">
        <v>35</v>
      </c>
      <c r="B1415" t="s">
        <v>93</v>
      </c>
      <c r="C1415" t="s">
        <v>57</v>
      </c>
      <c r="D1415">
        <v>2024</v>
      </c>
      <c r="E1415" t="s">
        <v>63</v>
      </c>
      <c r="F1415">
        <v>32</v>
      </c>
      <c r="G1415" t="s">
        <v>143</v>
      </c>
    </row>
    <row r="1416" spans="1:7" x14ac:dyDescent="0.35">
      <c r="A1416" t="s">
        <v>35</v>
      </c>
      <c r="B1416" t="s">
        <v>93</v>
      </c>
      <c r="C1416" t="s">
        <v>57</v>
      </c>
      <c r="D1416">
        <v>2024</v>
      </c>
      <c r="E1416" t="s">
        <v>144</v>
      </c>
      <c r="F1416">
        <v>12</v>
      </c>
      <c r="G1416" t="s">
        <v>143</v>
      </c>
    </row>
    <row r="1417" spans="1:7" x14ac:dyDescent="0.35">
      <c r="A1417" t="s">
        <v>35</v>
      </c>
      <c r="B1417" t="s">
        <v>93</v>
      </c>
      <c r="C1417" t="s">
        <v>57</v>
      </c>
      <c r="D1417">
        <v>2025</v>
      </c>
      <c r="E1417" t="s">
        <v>60</v>
      </c>
      <c r="F1417">
        <v>64</v>
      </c>
      <c r="G1417" t="s">
        <v>143</v>
      </c>
    </row>
    <row r="1418" spans="1:7" x14ac:dyDescent="0.35">
      <c r="A1418" t="s">
        <v>35</v>
      </c>
      <c r="B1418" t="s">
        <v>93</v>
      </c>
      <c r="C1418" t="s">
        <v>57</v>
      </c>
      <c r="D1418">
        <v>2025</v>
      </c>
      <c r="E1418" t="s">
        <v>61</v>
      </c>
      <c r="F1418">
        <v>106</v>
      </c>
      <c r="G1418" t="s">
        <v>143</v>
      </c>
    </row>
    <row r="1419" spans="1:7" x14ac:dyDescent="0.35">
      <c r="A1419" t="s">
        <v>35</v>
      </c>
      <c r="B1419" t="s">
        <v>93</v>
      </c>
      <c r="C1419" t="s">
        <v>57</v>
      </c>
      <c r="D1419">
        <v>2025</v>
      </c>
      <c r="E1419" t="s">
        <v>63</v>
      </c>
      <c r="F1419">
        <v>113</v>
      </c>
      <c r="G1419" t="s">
        <v>143</v>
      </c>
    </row>
    <row r="1420" spans="1:7" x14ac:dyDescent="0.35">
      <c r="A1420" t="s">
        <v>35</v>
      </c>
      <c r="B1420" t="s">
        <v>93</v>
      </c>
      <c r="C1420" t="s">
        <v>57</v>
      </c>
      <c r="D1420">
        <v>2025</v>
      </c>
      <c r="E1420" t="s">
        <v>144</v>
      </c>
      <c r="F1420">
        <v>191</v>
      </c>
      <c r="G1420" t="s">
        <v>143</v>
      </c>
    </row>
    <row r="1421" spans="1:7" x14ac:dyDescent="0.35">
      <c r="A1421" t="s">
        <v>35</v>
      </c>
      <c r="B1421" t="s">
        <v>93</v>
      </c>
      <c r="C1421" t="s">
        <v>57</v>
      </c>
      <c r="D1421">
        <v>2026</v>
      </c>
      <c r="E1421" t="s">
        <v>60</v>
      </c>
      <c r="F1421">
        <v>67</v>
      </c>
      <c r="G1421" t="s">
        <v>143</v>
      </c>
    </row>
    <row r="1422" spans="1:7" x14ac:dyDescent="0.35">
      <c r="A1422" t="s">
        <v>35</v>
      </c>
      <c r="B1422" t="s">
        <v>93</v>
      </c>
      <c r="C1422" t="s">
        <v>59</v>
      </c>
      <c r="D1422">
        <v>2022</v>
      </c>
      <c r="E1422" t="s">
        <v>60</v>
      </c>
      <c r="F1422">
        <v>2459</v>
      </c>
      <c r="G1422" t="s">
        <v>143</v>
      </c>
    </row>
    <row r="1423" spans="1:7" x14ac:dyDescent="0.35">
      <c r="A1423" t="s">
        <v>35</v>
      </c>
      <c r="B1423" t="s">
        <v>93</v>
      </c>
      <c r="C1423" t="s">
        <v>59</v>
      </c>
      <c r="D1423">
        <v>2022</v>
      </c>
      <c r="E1423" t="s">
        <v>61</v>
      </c>
      <c r="F1423">
        <v>2397</v>
      </c>
      <c r="G1423" t="s">
        <v>143</v>
      </c>
    </row>
    <row r="1424" spans="1:7" x14ac:dyDescent="0.35">
      <c r="A1424" t="s">
        <v>35</v>
      </c>
      <c r="B1424" t="s">
        <v>93</v>
      </c>
      <c r="C1424" t="s">
        <v>59</v>
      </c>
      <c r="D1424">
        <v>2022</v>
      </c>
      <c r="E1424" t="s">
        <v>63</v>
      </c>
      <c r="F1424">
        <v>2372</v>
      </c>
      <c r="G1424" t="s">
        <v>143</v>
      </c>
    </row>
    <row r="1425" spans="1:7" x14ac:dyDescent="0.35">
      <c r="A1425" t="s">
        <v>35</v>
      </c>
      <c r="B1425" t="s">
        <v>93</v>
      </c>
      <c r="C1425" t="s">
        <v>59</v>
      </c>
      <c r="D1425">
        <v>2022</v>
      </c>
      <c r="E1425" t="s">
        <v>144</v>
      </c>
      <c r="F1425">
        <v>2327</v>
      </c>
      <c r="G1425" t="s">
        <v>143</v>
      </c>
    </row>
    <row r="1426" spans="1:7" x14ac:dyDescent="0.35">
      <c r="A1426" t="s">
        <v>35</v>
      </c>
      <c r="B1426" t="s">
        <v>93</v>
      </c>
      <c r="C1426" t="s">
        <v>59</v>
      </c>
      <c r="D1426">
        <v>2023</v>
      </c>
      <c r="E1426" t="s">
        <v>60</v>
      </c>
      <c r="F1426">
        <v>1803</v>
      </c>
      <c r="G1426" t="s">
        <v>143</v>
      </c>
    </row>
    <row r="1427" spans="1:7" x14ac:dyDescent="0.35">
      <c r="A1427" t="s">
        <v>35</v>
      </c>
      <c r="B1427" t="s">
        <v>93</v>
      </c>
      <c r="C1427" t="s">
        <v>59</v>
      </c>
      <c r="D1427">
        <v>2023</v>
      </c>
      <c r="E1427" t="s">
        <v>61</v>
      </c>
      <c r="F1427">
        <v>1729</v>
      </c>
      <c r="G1427" t="s">
        <v>143</v>
      </c>
    </row>
    <row r="1428" spans="1:7" x14ac:dyDescent="0.35">
      <c r="A1428" t="s">
        <v>35</v>
      </c>
      <c r="B1428" t="s">
        <v>93</v>
      </c>
      <c r="C1428" t="s">
        <v>59</v>
      </c>
      <c r="D1428">
        <v>2023</v>
      </c>
      <c r="E1428" t="s">
        <v>63</v>
      </c>
      <c r="F1428">
        <v>1708</v>
      </c>
      <c r="G1428" t="s">
        <v>143</v>
      </c>
    </row>
    <row r="1429" spans="1:7" x14ac:dyDescent="0.35">
      <c r="A1429" t="s">
        <v>35</v>
      </c>
      <c r="B1429" t="s">
        <v>93</v>
      </c>
      <c r="C1429" t="s">
        <v>59</v>
      </c>
      <c r="D1429">
        <v>2023</v>
      </c>
      <c r="E1429" t="s">
        <v>144</v>
      </c>
      <c r="F1429">
        <v>1733</v>
      </c>
      <c r="G1429" t="s">
        <v>143</v>
      </c>
    </row>
    <row r="1430" spans="1:7" x14ac:dyDescent="0.35">
      <c r="A1430" t="s">
        <v>35</v>
      </c>
      <c r="B1430" t="s">
        <v>93</v>
      </c>
      <c r="C1430" t="s">
        <v>59</v>
      </c>
      <c r="D1430">
        <v>2024</v>
      </c>
      <c r="E1430" t="s">
        <v>60</v>
      </c>
      <c r="F1430">
        <v>1697</v>
      </c>
      <c r="G1430" t="s">
        <v>143</v>
      </c>
    </row>
    <row r="1431" spans="1:7" x14ac:dyDescent="0.35">
      <c r="A1431" t="s">
        <v>35</v>
      </c>
      <c r="B1431" t="s">
        <v>93</v>
      </c>
      <c r="C1431" t="s">
        <v>59</v>
      </c>
      <c r="D1431">
        <v>2024</v>
      </c>
      <c r="E1431" t="s">
        <v>61</v>
      </c>
      <c r="F1431">
        <v>1781</v>
      </c>
      <c r="G1431" t="s">
        <v>143</v>
      </c>
    </row>
    <row r="1432" spans="1:7" x14ac:dyDescent="0.35">
      <c r="A1432" t="s">
        <v>35</v>
      </c>
      <c r="B1432" t="s">
        <v>93</v>
      </c>
      <c r="C1432" t="s">
        <v>59</v>
      </c>
      <c r="D1432">
        <v>2024</v>
      </c>
      <c r="E1432" t="s">
        <v>63</v>
      </c>
      <c r="F1432">
        <v>1728</v>
      </c>
      <c r="G1432" t="s">
        <v>143</v>
      </c>
    </row>
    <row r="1433" spans="1:7" x14ac:dyDescent="0.35">
      <c r="A1433" t="s">
        <v>35</v>
      </c>
      <c r="B1433" t="s">
        <v>93</v>
      </c>
      <c r="C1433" t="s">
        <v>59</v>
      </c>
      <c r="D1433">
        <v>2024</v>
      </c>
      <c r="E1433" t="s">
        <v>144</v>
      </c>
      <c r="F1433">
        <v>1710</v>
      </c>
      <c r="G1433" t="s">
        <v>143</v>
      </c>
    </row>
    <row r="1434" spans="1:7" x14ac:dyDescent="0.35">
      <c r="A1434" t="s">
        <v>35</v>
      </c>
      <c r="B1434" t="s">
        <v>93</v>
      </c>
      <c r="C1434" t="s">
        <v>59</v>
      </c>
      <c r="D1434">
        <v>2025</v>
      </c>
      <c r="E1434" t="s">
        <v>60</v>
      </c>
      <c r="F1434">
        <v>1696</v>
      </c>
      <c r="G1434" t="s">
        <v>143</v>
      </c>
    </row>
    <row r="1435" spans="1:7" x14ac:dyDescent="0.35">
      <c r="A1435" t="s">
        <v>35</v>
      </c>
      <c r="B1435" t="s">
        <v>93</v>
      </c>
      <c r="C1435" t="s">
        <v>59</v>
      </c>
      <c r="D1435">
        <v>2025</v>
      </c>
      <c r="E1435" t="s">
        <v>61</v>
      </c>
      <c r="F1435">
        <v>1635</v>
      </c>
      <c r="G1435" t="s">
        <v>143</v>
      </c>
    </row>
    <row r="1436" spans="1:7" x14ac:dyDescent="0.35">
      <c r="A1436" t="s">
        <v>35</v>
      </c>
      <c r="B1436" t="s">
        <v>93</v>
      </c>
      <c r="C1436" t="s">
        <v>59</v>
      </c>
      <c r="D1436">
        <v>2025</v>
      </c>
      <c r="E1436" t="s">
        <v>63</v>
      </c>
      <c r="F1436">
        <v>1594</v>
      </c>
      <c r="G1436" t="s">
        <v>143</v>
      </c>
    </row>
    <row r="1437" spans="1:7" x14ac:dyDescent="0.35">
      <c r="A1437" t="s">
        <v>35</v>
      </c>
      <c r="B1437" t="s">
        <v>93</v>
      </c>
      <c r="C1437" t="s">
        <v>59</v>
      </c>
      <c r="D1437">
        <v>2025</v>
      </c>
      <c r="E1437" t="s">
        <v>144</v>
      </c>
      <c r="F1437">
        <v>1775</v>
      </c>
      <c r="G1437" t="s">
        <v>143</v>
      </c>
    </row>
    <row r="1438" spans="1:7" x14ac:dyDescent="0.35">
      <c r="A1438" t="s">
        <v>35</v>
      </c>
      <c r="B1438" t="s">
        <v>93</v>
      </c>
      <c r="C1438" t="s">
        <v>59</v>
      </c>
      <c r="D1438">
        <v>2026</v>
      </c>
      <c r="E1438" t="s">
        <v>60</v>
      </c>
      <c r="F1438">
        <v>1739</v>
      </c>
      <c r="G1438" t="s">
        <v>143</v>
      </c>
    </row>
    <row r="1439" spans="1:7" x14ac:dyDescent="0.35">
      <c r="A1439" t="s">
        <v>36</v>
      </c>
      <c r="B1439" t="s">
        <v>94</v>
      </c>
      <c r="C1439" t="s">
        <v>57</v>
      </c>
      <c r="D1439">
        <v>2022</v>
      </c>
      <c r="E1439" t="s">
        <v>60</v>
      </c>
      <c r="F1439">
        <v>210</v>
      </c>
      <c r="G1439" t="s">
        <v>143</v>
      </c>
    </row>
    <row r="1440" spans="1:7" x14ac:dyDescent="0.35">
      <c r="A1440" t="s">
        <v>36</v>
      </c>
      <c r="B1440" t="s">
        <v>94</v>
      </c>
      <c r="C1440" t="s">
        <v>57</v>
      </c>
      <c r="D1440">
        <v>2022</v>
      </c>
      <c r="E1440" t="s">
        <v>61</v>
      </c>
      <c r="F1440">
        <v>241</v>
      </c>
      <c r="G1440" t="s">
        <v>143</v>
      </c>
    </row>
    <row r="1441" spans="1:7" x14ac:dyDescent="0.35">
      <c r="A1441" t="s">
        <v>36</v>
      </c>
      <c r="B1441" t="s">
        <v>94</v>
      </c>
      <c r="C1441" t="s">
        <v>57</v>
      </c>
      <c r="D1441">
        <v>2022</v>
      </c>
      <c r="E1441" t="s">
        <v>63</v>
      </c>
      <c r="F1441">
        <v>265</v>
      </c>
      <c r="G1441" t="s">
        <v>143</v>
      </c>
    </row>
    <row r="1442" spans="1:7" x14ac:dyDescent="0.35">
      <c r="A1442" t="s">
        <v>36</v>
      </c>
      <c r="B1442" t="s">
        <v>94</v>
      </c>
      <c r="C1442" t="s">
        <v>57</v>
      </c>
      <c r="D1442">
        <v>2022</v>
      </c>
      <c r="E1442" t="s">
        <v>144</v>
      </c>
      <c r="F1442">
        <v>318</v>
      </c>
      <c r="G1442" t="s">
        <v>143</v>
      </c>
    </row>
    <row r="1443" spans="1:7" x14ac:dyDescent="0.35">
      <c r="A1443" t="s">
        <v>36</v>
      </c>
      <c r="B1443" t="s">
        <v>94</v>
      </c>
      <c r="C1443" t="s">
        <v>57</v>
      </c>
      <c r="D1443">
        <v>2023</v>
      </c>
      <c r="E1443" t="s">
        <v>60</v>
      </c>
      <c r="F1443">
        <v>380</v>
      </c>
      <c r="G1443" t="s">
        <v>143</v>
      </c>
    </row>
    <row r="1444" spans="1:7" x14ac:dyDescent="0.35">
      <c r="A1444" t="s">
        <v>36</v>
      </c>
      <c r="B1444" t="s">
        <v>94</v>
      </c>
      <c r="C1444" t="s">
        <v>57</v>
      </c>
      <c r="D1444">
        <v>2023</v>
      </c>
      <c r="E1444" t="s">
        <v>61</v>
      </c>
      <c r="F1444">
        <v>443</v>
      </c>
      <c r="G1444" t="s">
        <v>143</v>
      </c>
    </row>
    <row r="1445" spans="1:7" x14ac:dyDescent="0.35">
      <c r="A1445" t="s">
        <v>36</v>
      </c>
      <c r="B1445" t="s">
        <v>94</v>
      </c>
      <c r="C1445" t="s">
        <v>57</v>
      </c>
      <c r="D1445">
        <v>2023</v>
      </c>
      <c r="E1445" t="s">
        <v>63</v>
      </c>
      <c r="F1445">
        <v>507</v>
      </c>
      <c r="G1445" t="s">
        <v>143</v>
      </c>
    </row>
    <row r="1446" spans="1:7" x14ac:dyDescent="0.35">
      <c r="A1446" t="s">
        <v>36</v>
      </c>
      <c r="B1446" t="s">
        <v>94</v>
      </c>
      <c r="C1446" t="s">
        <v>57</v>
      </c>
      <c r="D1446">
        <v>2023</v>
      </c>
      <c r="E1446" t="s">
        <v>144</v>
      </c>
      <c r="F1446">
        <v>582</v>
      </c>
      <c r="G1446" t="s">
        <v>143</v>
      </c>
    </row>
    <row r="1447" spans="1:7" x14ac:dyDescent="0.35">
      <c r="A1447" t="s">
        <v>36</v>
      </c>
      <c r="B1447" t="s">
        <v>94</v>
      </c>
      <c r="C1447" t="s">
        <v>57</v>
      </c>
      <c r="D1447">
        <v>2024</v>
      </c>
      <c r="E1447" t="s">
        <v>60</v>
      </c>
      <c r="F1447">
        <v>611</v>
      </c>
      <c r="G1447" t="s">
        <v>143</v>
      </c>
    </row>
    <row r="1448" spans="1:7" x14ac:dyDescent="0.35">
      <c r="A1448" t="s">
        <v>36</v>
      </c>
      <c r="B1448" t="s">
        <v>94</v>
      </c>
      <c r="C1448" t="s">
        <v>57</v>
      </c>
      <c r="D1448">
        <v>2024</v>
      </c>
      <c r="E1448" t="s">
        <v>61</v>
      </c>
      <c r="F1448">
        <v>637</v>
      </c>
      <c r="G1448" t="s">
        <v>143</v>
      </c>
    </row>
    <row r="1449" spans="1:7" x14ac:dyDescent="0.35">
      <c r="A1449" t="s">
        <v>36</v>
      </c>
      <c r="B1449" t="s">
        <v>94</v>
      </c>
      <c r="C1449" t="s">
        <v>57</v>
      </c>
      <c r="D1449">
        <v>2024</v>
      </c>
      <c r="E1449" t="s">
        <v>63</v>
      </c>
      <c r="F1449">
        <v>768</v>
      </c>
      <c r="G1449" t="s">
        <v>143</v>
      </c>
    </row>
    <row r="1450" spans="1:7" x14ac:dyDescent="0.35">
      <c r="A1450" t="s">
        <v>36</v>
      </c>
      <c r="B1450" t="s">
        <v>94</v>
      </c>
      <c r="C1450" t="s">
        <v>57</v>
      </c>
      <c r="D1450">
        <v>2024</v>
      </c>
      <c r="E1450" t="s">
        <v>144</v>
      </c>
      <c r="F1450">
        <v>936</v>
      </c>
      <c r="G1450" t="s">
        <v>143</v>
      </c>
    </row>
    <row r="1451" spans="1:7" x14ac:dyDescent="0.35">
      <c r="A1451" t="s">
        <v>36</v>
      </c>
      <c r="B1451" t="s">
        <v>94</v>
      </c>
      <c r="C1451" t="s">
        <v>57</v>
      </c>
      <c r="D1451">
        <v>2025</v>
      </c>
      <c r="E1451" t="s">
        <v>60</v>
      </c>
      <c r="F1451">
        <v>940</v>
      </c>
      <c r="G1451" t="s">
        <v>143</v>
      </c>
    </row>
    <row r="1452" spans="1:7" x14ac:dyDescent="0.35">
      <c r="A1452" t="s">
        <v>36</v>
      </c>
      <c r="B1452" t="s">
        <v>94</v>
      </c>
      <c r="C1452" t="s">
        <v>57</v>
      </c>
      <c r="D1452">
        <v>2025</v>
      </c>
      <c r="E1452" t="s">
        <v>61</v>
      </c>
      <c r="F1452">
        <v>1150</v>
      </c>
      <c r="G1452" t="s">
        <v>143</v>
      </c>
    </row>
    <row r="1453" spans="1:7" x14ac:dyDescent="0.35">
      <c r="A1453" t="s">
        <v>36</v>
      </c>
      <c r="B1453" t="s">
        <v>94</v>
      </c>
      <c r="C1453" t="s">
        <v>57</v>
      </c>
      <c r="D1453">
        <v>2025</v>
      </c>
      <c r="E1453" t="s">
        <v>63</v>
      </c>
      <c r="F1453">
        <v>1030</v>
      </c>
      <c r="G1453" t="s">
        <v>143</v>
      </c>
    </row>
    <row r="1454" spans="1:7" x14ac:dyDescent="0.35">
      <c r="A1454" t="s">
        <v>36</v>
      </c>
      <c r="B1454" t="s">
        <v>94</v>
      </c>
      <c r="C1454" t="s">
        <v>57</v>
      </c>
      <c r="D1454">
        <v>2025</v>
      </c>
      <c r="E1454" t="s">
        <v>144</v>
      </c>
      <c r="F1454">
        <v>1289</v>
      </c>
      <c r="G1454" t="s">
        <v>143</v>
      </c>
    </row>
    <row r="1455" spans="1:7" x14ac:dyDescent="0.35">
      <c r="A1455" t="s">
        <v>36</v>
      </c>
      <c r="B1455" t="s">
        <v>94</v>
      </c>
      <c r="C1455" t="s">
        <v>57</v>
      </c>
      <c r="D1455">
        <v>2026</v>
      </c>
      <c r="E1455" t="s">
        <v>60</v>
      </c>
      <c r="F1455">
        <v>1170</v>
      </c>
      <c r="G1455" t="s">
        <v>143</v>
      </c>
    </row>
    <row r="1456" spans="1:7" x14ac:dyDescent="0.35">
      <c r="A1456" t="s">
        <v>36</v>
      </c>
      <c r="B1456" t="s">
        <v>94</v>
      </c>
      <c r="C1456" t="s">
        <v>58</v>
      </c>
      <c r="D1456">
        <v>2022</v>
      </c>
      <c r="E1456" t="s">
        <v>60</v>
      </c>
      <c r="F1456">
        <v>22</v>
      </c>
      <c r="G1456" t="s">
        <v>143</v>
      </c>
    </row>
    <row r="1457" spans="1:7" x14ac:dyDescent="0.35">
      <c r="A1457" t="s">
        <v>36</v>
      </c>
      <c r="B1457" t="s">
        <v>94</v>
      </c>
      <c r="C1457" t="s">
        <v>58</v>
      </c>
      <c r="D1457">
        <v>2022</v>
      </c>
      <c r="E1457" t="s">
        <v>61</v>
      </c>
      <c r="F1457">
        <v>106</v>
      </c>
      <c r="G1457" t="s">
        <v>143</v>
      </c>
    </row>
    <row r="1458" spans="1:7" x14ac:dyDescent="0.35">
      <c r="A1458" t="s">
        <v>36</v>
      </c>
      <c r="B1458" t="s">
        <v>94</v>
      </c>
      <c r="C1458" t="s">
        <v>58</v>
      </c>
      <c r="D1458">
        <v>2022</v>
      </c>
      <c r="E1458" t="s">
        <v>63</v>
      </c>
      <c r="F1458">
        <v>173</v>
      </c>
      <c r="G1458" t="s">
        <v>143</v>
      </c>
    </row>
    <row r="1459" spans="1:7" x14ac:dyDescent="0.35">
      <c r="A1459" t="s">
        <v>36</v>
      </c>
      <c r="B1459" t="s">
        <v>94</v>
      </c>
      <c r="C1459" t="s">
        <v>58</v>
      </c>
      <c r="D1459">
        <v>2022</v>
      </c>
      <c r="E1459" t="s">
        <v>144</v>
      </c>
      <c r="F1459">
        <v>807</v>
      </c>
      <c r="G1459" t="s">
        <v>143</v>
      </c>
    </row>
    <row r="1460" spans="1:7" x14ac:dyDescent="0.35">
      <c r="A1460" t="s">
        <v>36</v>
      </c>
      <c r="B1460" t="s">
        <v>94</v>
      </c>
      <c r="C1460" t="s">
        <v>58</v>
      </c>
      <c r="D1460">
        <v>2023</v>
      </c>
      <c r="E1460" t="s">
        <v>60</v>
      </c>
      <c r="F1460">
        <v>247</v>
      </c>
      <c r="G1460" t="s">
        <v>143</v>
      </c>
    </row>
    <row r="1461" spans="1:7" x14ac:dyDescent="0.35">
      <c r="A1461" t="s">
        <v>36</v>
      </c>
      <c r="B1461" t="s">
        <v>94</v>
      </c>
      <c r="C1461" t="s">
        <v>58</v>
      </c>
      <c r="D1461">
        <v>2023</v>
      </c>
      <c r="E1461" t="s">
        <v>61</v>
      </c>
      <c r="F1461">
        <v>340</v>
      </c>
      <c r="G1461" t="s">
        <v>143</v>
      </c>
    </row>
    <row r="1462" spans="1:7" x14ac:dyDescent="0.35">
      <c r="A1462" t="s">
        <v>36</v>
      </c>
      <c r="B1462" t="s">
        <v>94</v>
      </c>
      <c r="C1462" t="s">
        <v>58</v>
      </c>
      <c r="D1462">
        <v>2023</v>
      </c>
      <c r="E1462" t="s">
        <v>63</v>
      </c>
      <c r="F1462">
        <v>178</v>
      </c>
      <c r="G1462" t="s">
        <v>143</v>
      </c>
    </row>
    <row r="1463" spans="1:7" x14ac:dyDescent="0.35">
      <c r="A1463" t="s">
        <v>36</v>
      </c>
      <c r="B1463" t="s">
        <v>94</v>
      </c>
      <c r="C1463" t="s">
        <v>58</v>
      </c>
      <c r="D1463">
        <v>2023</v>
      </c>
      <c r="E1463" t="s">
        <v>144</v>
      </c>
      <c r="F1463">
        <v>296</v>
      </c>
      <c r="G1463" t="s">
        <v>143</v>
      </c>
    </row>
    <row r="1464" spans="1:7" x14ac:dyDescent="0.35">
      <c r="A1464" t="s">
        <v>36</v>
      </c>
      <c r="B1464" t="s">
        <v>94</v>
      </c>
      <c r="C1464" t="s">
        <v>58</v>
      </c>
      <c r="D1464">
        <v>2024</v>
      </c>
      <c r="E1464" t="s">
        <v>60</v>
      </c>
      <c r="F1464">
        <v>184</v>
      </c>
      <c r="G1464" t="s">
        <v>143</v>
      </c>
    </row>
    <row r="1465" spans="1:7" x14ac:dyDescent="0.35">
      <c r="A1465" t="s">
        <v>36</v>
      </c>
      <c r="B1465" t="s">
        <v>94</v>
      </c>
      <c r="C1465" t="s">
        <v>58</v>
      </c>
      <c r="D1465">
        <v>2024</v>
      </c>
      <c r="E1465" t="s">
        <v>61</v>
      </c>
      <c r="F1465">
        <v>384</v>
      </c>
      <c r="G1465" t="s">
        <v>143</v>
      </c>
    </row>
    <row r="1466" spans="1:7" x14ac:dyDescent="0.35">
      <c r="A1466" t="s">
        <v>36</v>
      </c>
      <c r="B1466" t="s">
        <v>94</v>
      </c>
      <c r="C1466" t="s">
        <v>58</v>
      </c>
      <c r="D1466">
        <v>2024</v>
      </c>
      <c r="E1466" t="s">
        <v>63</v>
      </c>
      <c r="F1466">
        <v>147</v>
      </c>
      <c r="G1466" t="s">
        <v>143</v>
      </c>
    </row>
    <row r="1467" spans="1:7" x14ac:dyDescent="0.35">
      <c r="A1467" t="s">
        <v>36</v>
      </c>
      <c r="B1467" t="s">
        <v>94</v>
      </c>
      <c r="C1467" t="s">
        <v>58</v>
      </c>
      <c r="D1467">
        <v>2024</v>
      </c>
      <c r="E1467" t="s">
        <v>144</v>
      </c>
      <c r="F1467">
        <v>974</v>
      </c>
      <c r="G1467" t="s">
        <v>143</v>
      </c>
    </row>
    <row r="1468" spans="1:7" x14ac:dyDescent="0.35">
      <c r="A1468" t="s">
        <v>36</v>
      </c>
      <c r="B1468" t="s">
        <v>94</v>
      </c>
      <c r="C1468" t="s">
        <v>58</v>
      </c>
      <c r="D1468">
        <v>2025</v>
      </c>
      <c r="E1468" t="s">
        <v>60</v>
      </c>
      <c r="F1468">
        <v>135</v>
      </c>
      <c r="G1468" t="s">
        <v>143</v>
      </c>
    </row>
    <row r="1469" spans="1:7" x14ac:dyDescent="0.35">
      <c r="A1469" t="s">
        <v>36</v>
      </c>
      <c r="B1469" t="s">
        <v>94</v>
      </c>
      <c r="C1469" t="s">
        <v>58</v>
      </c>
      <c r="D1469">
        <v>2025</v>
      </c>
      <c r="E1469" t="s">
        <v>61</v>
      </c>
      <c r="F1469">
        <v>790</v>
      </c>
      <c r="G1469" t="s">
        <v>143</v>
      </c>
    </row>
    <row r="1470" spans="1:7" x14ac:dyDescent="0.35">
      <c r="A1470" t="s">
        <v>36</v>
      </c>
      <c r="B1470" t="s">
        <v>94</v>
      </c>
      <c r="C1470" t="s">
        <v>58</v>
      </c>
      <c r="D1470">
        <v>2025</v>
      </c>
      <c r="E1470" t="s">
        <v>63</v>
      </c>
      <c r="F1470">
        <v>59</v>
      </c>
      <c r="G1470" t="s">
        <v>143</v>
      </c>
    </row>
    <row r="1471" spans="1:7" x14ac:dyDescent="0.35">
      <c r="A1471" t="s">
        <v>36</v>
      </c>
      <c r="B1471" t="s">
        <v>94</v>
      </c>
      <c r="C1471" t="s">
        <v>58</v>
      </c>
      <c r="D1471">
        <v>2025</v>
      </c>
      <c r="E1471" t="s">
        <v>144</v>
      </c>
      <c r="F1471">
        <v>1071</v>
      </c>
      <c r="G1471" t="s">
        <v>143</v>
      </c>
    </row>
    <row r="1472" spans="1:7" x14ac:dyDescent="0.35">
      <c r="A1472" t="s">
        <v>36</v>
      </c>
      <c r="B1472" t="s">
        <v>94</v>
      </c>
      <c r="C1472" t="s">
        <v>58</v>
      </c>
      <c r="D1472">
        <v>2026</v>
      </c>
      <c r="E1472" t="s">
        <v>60</v>
      </c>
      <c r="F1472">
        <v>243</v>
      </c>
      <c r="G1472" t="s">
        <v>143</v>
      </c>
    </row>
    <row r="1473" spans="1:7" x14ac:dyDescent="0.35">
      <c r="A1473" t="s">
        <v>36</v>
      </c>
      <c r="B1473" t="s">
        <v>94</v>
      </c>
      <c r="C1473" t="s">
        <v>59</v>
      </c>
      <c r="D1473">
        <v>2023</v>
      </c>
      <c r="E1473" t="s">
        <v>60</v>
      </c>
      <c r="F1473">
        <v>672</v>
      </c>
      <c r="G1473" t="s">
        <v>143</v>
      </c>
    </row>
    <row r="1474" spans="1:7" x14ac:dyDescent="0.35">
      <c r="A1474" t="s">
        <v>36</v>
      </c>
      <c r="B1474" t="s">
        <v>94</v>
      </c>
      <c r="C1474" t="s">
        <v>59</v>
      </c>
      <c r="D1474">
        <v>2023</v>
      </c>
      <c r="E1474" t="s">
        <v>61</v>
      </c>
      <c r="F1474">
        <v>872</v>
      </c>
      <c r="G1474" t="s">
        <v>143</v>
      </c>
    </row>
    <row r="1475" spans="1:7" x14ac:dyDescent="0.35">
      <c r="A1475" t="s">
        <v>36</v>
      </c>
      <c r="B1475" t="s">
        <v>94</v>
      </c>
      <c r="C1475" t="s">
        <v>59</v>
      </c>
      <c r="D1475">
        <v>2023</v>
      </c>
      <c r="E1475" t="s">
        <v>63</v>
      </c>
      <c r="F1475">
        <v>939</v>
      </c>
      <c r="G1475" t="s">
        <v>143</v>
      </c>
    </row>
    <row r="1476" spans="1:7" x14ac:dyDescent="0.35">
      <c r="A1476" t="s">
        <v>36</v>
      </c>
      <c r="B1476" t="s">
        <v>94</v>
      </c>
      <c r="C1476" t="s">
        <v>59</v>
      </c>
      <c r="D1476">
        <v>2023</v>
      </c>
      <c r="E1476" t="s">
        <v>144</v>
      </c>
      <c r="F1476">
        <v>1150</v>
      </c>
      <c r="G1476" t="s">
        <v>143</v>
      </c>
    </row>
    <row r="1477" spans="1:7" x14ac:dyDescent="0.35">
      <c r="A1477" t="s">
        <v>36</v>
      </c>
      <c r="B1477" t="s">
        <v>94</v>
      </c>
      <c r="C1477" t="s">
        <v>59</v>
      </c>
      <c r="D1477">
        <v>2024</v>
      </c>
      <c r="E1477" t="s">
        <v>60</v>
      </c>
      <c r="F1477">
        <v>1222</v>
      </c>
      <c r="G1477" t="s">
        <v>143</v>
      </c>
    </row>
    <row r="1478" spans="1:7" x14ac:dyDescent="0.35">
      <c r="A1478" t="s">
        <v>36</v>
      </c>
      <c r="B1478" t="s">
        <v>94</v>
      </c>
      <c r="C1478" t="s">
        <v>59</v>
      </c>
      <c r="D1478">
        <v>2024</v>
      </c>
      <c r="E1478" t="s">
        <v>61</v>
      </c>
      <c r="F1478">
        <v>1818</v>
      </c>
      <c r="G1478" t="s">
        <v>143</v>
      </c>
    </row>
    <row r="1479" spans="1:7" x14ac:dyDescent="0.35">
      <c r="A1479" t="s">
        <v>36</v>
      </c>
      <c r="B1479" t="s">
        <v>94</v>
      </c>
      <c r="C1479" t="s">
        <v>59</v>
      </c>
      <c r="D1479">
        <v>2024</v>
      </c>
      <c r="E1479" t="s">
        <v>63</v>
      </c>
      <c r="F1479">
        <v>1408</v>
      </c>
      <c r="G1479" t="s">
        <v>143</v>
      </c>
    </row>
    <row r="1480" spans="1:7" x14ac:dyDescent="0.35">
      <c r="A1480" t="s">
        <v>36</v>
      </c>
      <c r="B1480" t="s">
        <v>94</v>
      </c>
      <c r="C1480" t="s">
        <v>59</v>
      </c>
      <c r="D1480">
        <v>2024</v>
      </c>
      <c r="E1480" t="s">
        <v>144</v>
      </c>
      <c r="F1480">
        <v>1872</v>
      </c>
      <c r="G1480" t="s">
        <v>143</v>
      </c>
    </row>
    <row r="1481" spans="1:7" x14ac:dyDescent="0.35">
      <c r="A1481" t="s">
        <v>36</v>
      </c>
      <c r="B1481" t="s">
        <v>94</v>
      </c>
      <c r="C1481" t="s">
        <v>59</v>
      </c>
      <c r="D1481">
        <v>2025</v>
      </c>
      <c r="E1481" t="s">
        <v>60</v>
      </c>
      <c r="F1481">
        <v>2014</v>
      </c>
      <c r="G1481" t="s">
        <v>143</v>
      </c>
    </row>
    <row r="1482" spans="1:7" x14ac:dyDescent="0.35">
      <c r="A1482" t="s">
        <v>36</v>
      </c>
      <c r="B1482" t="s">
        <v>94</v>
      </c>
      <c r="C1482" t="s">
        <v>59</v>
      </c>
      <c r="D1482">
        <v>2025</v>
      </c>
      <c r="E1482" t="s">
        <v>61</v>
      </c>
      <c r="F1482">
        <v>2827</v>
      </c>
      <c r="G1482" t="s">
        <v>143</v>
      </c>
    </row>
    <row r="1483" spans="1:7" x14ac:dyDescent="0.35">
      <c r="A1483" t="s">
        <v>36</v>
      </c>
      <c r="B1483" t="s">
        <v>94</v>
      </c>
      <c r="C1483" t="s">
        <v>59</v>
      </c>
      <c r="D1483">
        <v>2025</v>
      </c>
      <c r="E1483" t="s">
        <v>63</v>
      </c>
      <c r="F1483">
        <v>3438</v>
      </c>
      <c r="G1483" t="s">
        <v>143</v>
      </c>
    </row>
    <row r="1484" spans="1:7" x14ac:dyDescent="0.35">
      <c r="A1484" t="s">
        <v>36</v>
      </c>
      <c r="B1484" t="s">
        <v>94</v>
      </c>
      <c r="C1484" t="s">
        <v>59</v>
      </c>
      <c r="D1484">
        <v>2025</v>
      </c>
      <c r="E1484" t="s">
        <v>144</v>
      </c>
      <c r="F1484">
        <v>4246</v>
      </c>
      <c r="G1484" t="s">
        <v>143</v>
      </c>
    </row>
    <row r="1485" spans="1:7" x14ac:dyDescent="0.35">
      <c r="A1485" t="s">
        <v>36</v>
      </c>
      <c r="B1485" t="s">
        <v>94</v>
      </c>
      <c r="C1485" t="s">
        <v>59</v>
      </c>
      <c r="D1485">
        <v>2026</v>
      </c>
      <c r="E1485" t="s">
        <v>60</v>
      </c>
      <c r="F1485">
        <v>4539</v>
      </c>
      <c r="G1485" t="s">
        <v>143</v>
      </c>
    </row>
    <row r="1486" spans="1:7" x14ac:dyDescent="0.35">
      <c r="A1486" t="s">
        <v>37</v>
      </c>
      <c r="B1486" t="s">
        <v>95</v>
      </c>
      <c r="C1486" t="s">
        <v>57</v>
      </c>
      <c r="D1486">
        <v>2024</v>
      </c>
      <c r="E1486" t="s">
        <v>60</v>
      </c>
      <c r="F1486">
        <v>165</v>
      </c>
      <c r="G1486" t="s">
        <v>143</v>
      </c>
    </row>
    <row r="1487" spans="1:7" x14ac:dyDescent="0.35">
      <c r="A1487" t="s">
        <v>37</v>
      </c>
      <c r="B1487" t="s">
        <v>95</v>
      </c>
      <c r="C1487" t="s">
        <v>57</v>
      </c>
      <c r="D1487">
        <v>2024</v>
      </c>
      <c r="E1487" t="s">
        <v>61</v>
      </c>
      <c r="F1487">
        <v>201</v>
      </c>
      <c r="G1487" t="s">
        <v>143</v>
      </c>
    </row>
    <row r="1488" spans="1:7" x14ac:dyDescent="0.35">
      <c r="A1488" t="s">
        <v>37</v>
      </c>
      <c r="B1488" t="s">
        <v>95</v>
      </c>
      <c r="C1488" t="s">
        <v>57</v>
      </c>
      <c r="D1488">
        <v>2024</v>
      </c>
      <c r="E1488" t="s">
        <v>63</v>
      </c>
      <c r="F1488">
        <v>189</v>
      </c>
      <c r="G1488" t="s">
        <v>143</v>
      </c>
    </row>
    <row r="1489" spans="1:7" x14ac:dyDescent="0.35">
      <c r="A1489" t="s">
        <v>37</v>
      </c>
      <c r="B1489" t="s">
        <v>95</v>
      </c>
      <c r="C1489" t="s">
        <v>57</v>
      </c>
      <c r="D1489">
        <v>2024</v>
      </c>
      <c r="E1489" t="s">
        <v>144</v>
      </c>
      <c r="F1489">
        <v>280</v>
      </c>
      <c r="G1489" t="s">
        <v>143</v>
      </c>
    </row>
    <row r="1490" spans="1:7" x14ac:dyDescent="0.35">
      <c r="A1490" t="s">
        <v>37</v>
      </c>
      <c r="B1490" t="s">
        <v>95</v>
      </c>
      <c r="C1490" t="s">
        <v>57</v>
      </c>
      <c r="D1490">
        <v>2025</v>
      </c>
      <c r="E1490" t="s">
        <v>60</v>
      </c>
      <c r="F1490">
        <v>222</v>
      </c>
      <c r="G1490" t="s">
        <v>143</v>
      </c>
    </row>
    <row r="1491" spans="1:7" x14ac:dyDescent="0.35">
      <c r="A1491" t="s">
        <v>37</v>
      </c>
      <c r="B1491" t="s">
        <v>95</v>
      </c>
      <c r="C1491" t="s">
        <v>57</v>
      </c>
      <c r="D1491">
        <v>2025</v>
      </c>
      <c r="E1491" t="s">
        <v>61</v>
      </c>
      <c r="F1491">
        <v>305</v>
      </c>
      <c r="G1491" t="s">
        <v>143</v>
      </c>
    </row>
    <row r="1492" spans="1:7" x14ac:dyDescent="0.35">
      <c r="A1492" t="s">
        <v>37</v>
      </c>
      <c r="B1492" t="s">
        <v>95</v>
      </c>
      <c r="C1492" t="s">
        <v>57</v>
      </c>
      <c r="D1492">
        <v>2025</v>
      </c>
      <c r="E1492" t="s">
        <v>63</v>
      </c>
      <c r="F1492">
        <v>169</v>
      </c>
      <c r="G1492" t="s">
        <v>143</v>
      </c>
    </row>
    <row r="1493" spans="1:7" x14ac:dyDescent="0.35">
      <c r="A1493" t="s">
        <v>37</v>
      </c>
      <c r="B1493" t="s">
        <v>95</v>
      </c>
      <c r="C1493" t="s">
        <v>57</v>
      </c>
      <c r="D1493">
        <v>2025</v>
      </c>
      <c r="E1493" t="s">
        <v>144</v>
      </c>
      <c r="F1493">
        <v>389</v>
      </c>
      <c r="G1493" t="s">
        <v>143</v>
      </c>
    </row>
    <row r="1494" spans="1:7" x14ac:dyDescent="0.35">
      <c r="A1494" t="s">
        <v>37</v>
      </c>
      <c r="B1494" t="s">
        <v>95</v>
      </c>
      <c r="C1494" t="s">
        <v>57</v>
      </c>
      <c r="D1494">
        <v>2026</v>
      </c>
      <c r="E1494" t="s">
        <v>60</v>
      </c>
      <c r="F1494">
        <v>196</v>
      </c>
      <c r="G1494" t="s">
        <v>143</v>
      </c>
    </row>
    <row r="1495" spans="1:7" x14ac:dyDescent="0.35">
      <c r="A1495" t="s">
        <v>37</v>
      </c>
      <c r="B1495" t="s">
        <v>95</v>
      </c>
      <c r="C1495" t="s">
        <v>58</v>
      </c>
      <c r="D1495">
        <v>2024</v>
      </c>
      <c r="E1495" t="s">
        <v>60</v>
      </c>
      <c r="F1495">
        <v>1</v>
      </c>
      <c r="G1495" t="s">
        <v>143</v>
      </c>
    </row>
    <row r="1496" spans="1:7" x14ac:dyDescent="0.35">
      <c r="A1496" t="s">
        <v>37</v>
      </c>
      <c r="B1496" t="s">
        <v>95</v>
      </c>
      <c r="C1496" t="s">
        <v>58</v>
      </c>
      <c r="D1496">
        <v>2024</v>
      </c>
      <c r="E1496" t="s">
        <v>61</v>
      </c>
      <c r="F1496">
        <v>0</v>
      </c>
      <c r="G1496" t="s">
        <v>143</v>
      </c>
    </row>
    <row r="1497" spans="1:7" x14ac:dyDescent="0.35">
      <c r="A1497" t="s">
        <v>37</v>
      </c>
      <c r="B1497" t="s">
        <v>95</v>
      </c>
      <c r="C1497" t="s">
        <v>58</v>
      </c>
      <c r="D1497">
        <v>2024</v>
      </c>
      <c r="E1497" t="s">
        <v>63</v>
      </c>
      <c r="F1497">
        <v>1</v>
      </c>
      <c r="G1497" t="s">
        <v>143</v>
      </c>
    </row>
    <row r="1498" spans="1:7" x14ac:dyDescent="0.35">
      <c r="A1498" t="s">
        <v>37</v>
      </c>
      <c r="B1498" t="s">
        <v>95</v>
      </c>
      <c r="C1498" t="s">
        <v>58</v>
      </c>
      <c r="D1498">
        <v>2024</v>
      </c>
      <c r="E1498" t="s">
        <v>144</v>
      </c>
      <c r="F1498">
        <v>2</v>
      </c>
      <c r="G1498" t="s">
        <v>143</v>
      </c>
    </row>
    <row r="1499" spans="1:7" x14ac:dyDescent="0.35">
      <c r="A1499" t="s">
        <v>37</v>
      </c>
      <c r="B1499" t="s">
        <v>95</v>
      </c>
      <c r="C1499" t="s">
        <v>58</v>
      </c>
      <c r="D1499">
        <v>2025</v>
      </c>
      <c r="E1499" t="s">
        <v>60</v>
      </c>
      <c r="F1499">
        <v>2</v>
      </c>
      <c r="G1499" t="s">
        <v>143</v>
      </c>
    </row>
    <row r="1500" spans="1:7" x14ac:dyDescent="0.35">
      <c r="A1500" t="s">
        <v>37</v>
      </c>
      <c r="B1500" t="s">
        <v>95</v>
      </c>
      <c r="C1500" t="s">
        <v>58</v>
      </c>
      <c r="D1500">
        <v>2025</v>
      </c>
      <c r="E1500" t="s">
        <v>61</v>
      </c>
      <c r="F1500">
        <v>2</v>
      </c>
      <c r="G1500" t="s">
        <v>143</v>
      </c>
    </row>
    <row r="1501" spans="1:7" x14ac:dyDescent="0.35">
      <c r="A1501" t="s">
        <v>37</v>
      </c>
      <c r="B1501" t="s">
        <v>95</v>
      </c>
      <c r="C1501" t="s">
        <v>58</v>
      </c>
      <c r="D1501">
        <v>2025</v>
      </c>
      <c r="E1501" t="s">
        <v>63</v>
      </c>
      <c r="F1501">
        <v>12</v>
      </c>
      <c r="G1501" t="s">
        <v>143</v>
      </c>
    </row>
    <row r="1502" spans="1:7" x14ac:dyDescent="0.35">
      <c r="A1502" t="s">
        <v>37</v>
      </c>
      <c r="B1502" t="s">
        <v>95</v>
      </c>
      <c r="C1502" t="s">
        <v>58</v>
      </c>
      <c r="D1502">
        <v>2025</v>
      </c>
      <c r="E1502" t="s">
        <v>144</v>
      </c>
      <c r="F1502">
        <v>15</v>
      </c>
      <c r="G1502" t="s">
        <v>143</v>
      </c>
    </row>
    <row r="1503" spans="1:7" x14ac:dyDescent="0.35">
      <c r="A1503" t="s">
        <v>37</v>
      </c>
      <c r="B1503" t="s">
        <v>95</v>
      </c>
      <c r="C1503" t="s">
        <v>58</v>
      </c>
      <c r="D1503">
        <v>2026</v>
      </c>
      <c r="E1503" t="s">
        <v>60</v>
      </c>
      <c r="F1503">
        <v>3</v>
      </c>
      <c r="G1503" t="s">
        <v>143</v>
      </c>
    </row>
    <row r="1504" spans="1:7" x14ac:dyDescent="0.35">
      <c r="A1504" t="s">
        <v>37</v>
      </c>
      <c r="B1504" t="s">
        <v>95</v>
      </c>
      <c r="C1504" t="s">
        <v>59</v>
      </c>
      <c r="D1504">
        <v>2024</v>
      </c>
      <c r="E1504" t="s">
        <v>61</v>
      </c>
      <c r="F1504">
        <v>272</v>
      </c>
      <c r="G1504" t="s">
        <v>143</v>
      </c>
    </row>
    <row r="1505" spans="1:7" x14ac:dyDescent="0.35">
      <c r="A1505" t="s">
        <v>37</v>
      </c>
      <c r="B1505" t="s">
        <v>95</v>
      </c>
      <c r="C1505" t="s">
        <v>59</v>
      </c>
      <c r="D1505">
        <v>2024</v>
      </c>
      <c r="E1505" t="s">
        <v>63</v>
      </c>
      <c r="F1505">
        <v>294</v>
      </c>
      <c r="G1505" t="s">
        <v>143</v>
      </c>
    </row>
    <row r="1506" spans="1:7" x14ac:dyDescent="0.35">
      <c r="A1506" t="s">
        <v>37</v>
      </c>
      <c r="B1506" t="s">
        <v>95</v>
      </c>
      <c r="C1506" t="s">
        <v>59</v>
      </c>
      <c r="D1506">
        <v>2024</v>
      </c>
      <c r="E1506" t="s">
        <v>144</v>
      </c>
      <c r="F1506">
        <v>299</v>
      </c>
      <c r="G1506" t="s">
        <v>143</v>
      </c>
    </row>
    <row r="1507" spans="1:7" x14ac:dyDescent="0.35">
      <c r="A1507" t="s">
        <v>37</v>
      </c>
      <c r="B1507" t="s">
        <v>95</v>
      </c>
      <c r="C1507" t="s">
        <v>59</v>
      </c>
      <c r="D1507">
        <v>2025</v>
      </c>
      <c r="E1507" t="s">
        <v>60</v>
      </c>
      <c r="F1507">
        <v>87</v>
      </c>
      <c r="G1507" t="s">
        <v>143</v>
      </c>
    </row>
    <row r="1508" spans="1:7" x14ac:dyDescent="0.35">
      <c r="A1508" t="s">
        <v>37</v>
      </c>
      <c r="B1508" t="s">
        <v>95</v>
      </c>
      <c r="C1508" t="s">
        <v>59</v>
      </c>
      <c r="D1508">
        <v>2025</v>
      </c>
      <c r="E1508" t="s">
        <v>61</v>
      </c>
      <c r="F1508">
        <v>275</v>
      </c>
      <c r="G1508" t="s">
        <v>143</v>
      </c>
    </row>
    <row r="1509" spans="1:7" x14ac:dyDescent="0.35">
      <c r="A1509" t="s">
        <v>37</v>
      </c>
      <c r="B1509" t="s">
        <v>95</v>
      </c>
      <c r="C1509" t="s">
        <v>59</v>
      </c>
      <c r="D1509">
        <v>2025</v>
      </c>
      <c r="E1509" t="s">
        <v>63</v>
      </c>
      <c r="F1509">
        <v>-279</v>
      </c>
      <c r="G1509" t="s">
        <v>143</v>
      </c>
    </row>
    <row r="1510" spans="1:7" x14ac:dyDescent="0.35">
      <c r="A1510" t="s">
        <v>37</v>
      </c>
      <c r="B1510" t="s">
        <v>95</v>
      </c>
      <c r="C1510" t="s">
        <v>59</v>
      </c>
      <c r="D1510">
        <v>2025</v>
      </c>
      <c r="E1510" t="s">
        <v>144</v>
      </c>
      <c r="F1510">
        <v>-315</v>
      </c>
      <c r="G1510" t="s">
        <v>143</v>
      </c>
    </row>
    <row r="1511" spans="1:7" x14ac:dyDescent="0.35">
      <c r="A1511" t="s">
        <v>37</v>
      </c>
      <c r="B1511" t="s">
        <v>95</v>
      </c>
      <c r="C1511" t="s">
        <v>59</v>
      </c>
      <c r="D1511">
        <v>2026</v>
      </c>
      <c r="E1511" t="s">
        <v>60</v>
      </c>
      <c r="F1511">
        <v>-250</v>
      </c>
      <c r="G1511" t="s">
        <v>143</v>
      </c>
    </row>
    <row r="1512" spans="1:7" x14ac:dyDescent="0.35">
      <c r="A1512" t="s">
        <v>38</v>
      </c>
      <c r="B1512" t="s">
        <v>96</v>
      </c>
      <c r="C1512" t="s">
        <v>57</v>
      </c>
      <c r="D1512">
        <v>2022</v>
      </c>
      <c r="E1512" t="s">
        <v>60</v>
      </c>
      <c r="F1512">
        <v>581</v>
      </c>
      <c r="G1512" t="s">
        <v>143</v>
      </c>
    </row>
    <row r="1513" spans="1:7" x14ac:dyDescent="0.35">
      <c r="A1513" t="s">
        <v>38</v>
      </c>
      <c r="B1513" t="s">
        <v>96</v>
      </c>
      <c r="C1513" t="s">
        <v>57</v>
      </c>
      <c r="D1513">
        <v>2022</v>
      </c>
      <c r="E1513" t="s">
        <v>61</v>
      </c>
      <c r="F1513">
        <v>581</v>
      </c>
      <c r="G1513" t="s">
        <v>143</v>
      </c>
    </row>
    <row r="1514" spans="1:7" x14ac:dyDescent="0.35">
      <c r="A1514" t="s">
        <v>38</v>
      </c>
      <c r="B1514" t="s">
        <v>96</v>
      </c>
      <c r="C1514" t="s">
        <v>57</v>
      </c>
      <c r="D1514">
        <v>2022</v>
      </c>
      <c r="E1514" t="s">
        <v>63</v>
      </c>
      <c r="F1514">
        <v>511</v>
      </c>
      <c r="G1514" t="s">
        <v>143</v>
      </c>
    </row>
    <row r="1515" spans="1:7" x14ac:dyDescent="0.35">
      <c r="A1515" t="s">
        <v>38</v>
      </c>
      <c r="B1515" t="s">
        <v>96</v>
      </c>
      <c r="C1515" t="s">
        <v>57</v>
      </c>
      <c r="D1515">
        <v>2022</v>
      </c>
      <c r="E1515" t="s">
        <v>144</v>
      </c>
      <c r="F1515">
        <v>599</v>
      </c>
      <c r="G1515" t="s">
        <v>143</v>
      </c>
    </row>
    <row r="1516" spans="1:7" x14ac:dyDescent="0.35">
      <c r="A1516" t="s">
        <v>38</v>
      </c>
      <c r="B1516" t="s">
        <v>96</v>
      </c>
      <c r="C1516" t="s">
        <v>57</v>
      </c>
      <c r="D1516">
        <v>2023</v>
      </c>
      <c r="E1516" t="s">
        <v>60</v>
      </c>
      <c r="F1516">
        <v>597</v>
      </c>
      <c r="G1516" t="s">
        <v>143</v>
      </c>
    </row>
    <row r="1517" spans="1:7" x14ac:dyDescent="0.35">
      <c r="A1517" t="s">
        <v>38</v>
      </c>
      <c r="B1517" t="s">
        <v>96</v>
      </c>
      <c r="C1517" t="s">
        <v>57</v>
      </c>
      <c r="D1517">
        <v>2023</v>
      </c>
      <c r="E1517" t="s">
        <v>61</v>
      </c>
      <c r="F1517">
        <v>612</v>
      </c>
      <c r="G1517" t="s">
        <v>143</v>
      </c>
    </row>
    <row r="1518" spans="1:7" x14ac:dyDescent="0.35">
      <c r="A1518" t="s">
        <v>38</v>
      </c>
      <c r="B1518" t="s">
        <v>96</v>
      </c>
      <c r="C1518" t="s">
        <v>57</v>
      </c>
      <c r="D1518">
        <v>2023</v>
      </c>
      <c r="E1518" t="s">
        <v>63</v>
      </c>
      <c r="F1518">
        <v>573</v>
      </c>
      <c r="G1518" t="s">
        <v>143</v>
      </c>
    </row>
    <row r="1519" spans="1:7" x14ac:dyDescent="0.35">
      <c r="A1519" t="s">
        <v>38</v>
      </c>
      <c r="B1519" t="s">
        <v>96</v>
      </c>
      <c r="C1519" t="s">
        <v>57</v>
      </c>
      <c r="D1519">
        <v>2023</v>
      </c>
      <c r="E1519" t="s">
        <v>144</v>
      </c>
      <c r="F1519">
        <v>673</v>
      </c>
      <c r="G1519" t="s">
        <v>143</v>
      </c>
    </row>
    <row r="1520" spans="1:7" x14ac:dyDescent="0.35">
      <c r="A1520" t="s">
        <v>38</v>
      </c>
      <c r="B1520" t="s">
        <v>96</v>
      </c>
      <c r="C1520" t="s">
        <v>57</v>
      </c>
      <c r="D1520">
        <v>2024</v>
      </c>
      <c r="E1520" t="s">
        <v>60</v>
      </c>
      <c r="F1520">
        <v>656</v>
      </c>
      <c r="G1520" t="s">
        <v>143</v>
      </c>
    </row>
    <row r="1521" spans="1:7" x14ac:dyDescent="0.35">
      <c r="A1521" t="s">
        <v>38</v>
      </c>
      <c r="B1521" t="s">
        <v>96</v>
      </c>
      <c r="C1521" t="s">
        <v>57</v>
      </c>
      <c r="D1521">
        <v>2024</v>
      </c>
      <c r="E1521" t="s">
        <v>61</v>
      </c>
      <c r="F1521">
        <v>672</v>
      </c>
      <c r="G1521" t="s">
        <v>143</v>
      </c>
    </row>
    <row r="1522" spans="1:7" x14ac:dyDescent="0.35">
      <c r="A1522" t="s">
        <v>38</v>
      </c>
      <c r="B1522" t="s">
        <v>96</v>
      </c>
      <c r="C1522" t="s">
        <v>57</v>
      </c>
      <c r="D1522">
        <v>2024</v>
      </c>
      <c r="E1522" t="s">
        <v>63</v>
      </c>
      <c r="F1522">
        <v>2039</v>
      </c>
      <c r="G1522" t="s">
        <v>143</v>
      </c>
    </row>
    <row r="1523" spans="1:7" x14ac:dyDescent="0.35">
      <c r="A1523" t="s">
        <v>38</v>
      </c>
      <c r="B1523" t="s">
        <v>96</v>
      </c>
      <c r="C1523" t="s">
        <v>57</v>
      </c>
      <c r="D1523">
        <v>2024</v>
      </c>
      <c r="E1523" t="s">
        <v>144</v>
      </c>
      <c r="F1523">
        <v>777</v>
      </c>
      <c r="G1523" t="s">
        <v>143</v>
      </c>
    </row>
    <row r="1524" spans="1:7" x14ac:dyDescent="0.35">
      <c r="A1524" t="s">
        <v>38</v>
      </c>
      <c r="B1524" t="s">
        <v>96</v>
      </c>
      <c r="C1524" t="s">
        <v>57</v>
      </c>
      <c r="D1524">
        <v>2025</v>
      </c>
      <c r="E1524" t="s">
        <v>60</v>
      </c>
      <c r="F1524">
        <v>782</v>
      </c>
      <c r="G1524" t="s">
        <v>143</v>
      </c>
    </row>
    <row r="1525" spans="1:7" x14ac:dyDescent="0.35">
      <c r="A1525" t="s">
        <v>38</v>
      </c>
      <c r="B1525" t="s">
        <v>96</v>
      </c>
      <c r="C1525" t="s">
        <v>57</v>
      </c>
      <c r="D1525">
        <v>2025</v>
      </c>
      <c r="E1525" t="s">
        <v>61</v>
      </c>
      <c r="F1525">
        <v>767</v>
      </c>
      <c r="G1525" t="s">
        <v>143</v>
      </c>
    </row>
    <row r="1526" spans="1:7" x14ac:dyDescent="0.35">
      <c r="A1526" t="s">
        <v>38</v>
      </c>
      <c r="B1526" t="s">
        <v>96</v>
      </c>
      <c r="C1526" t="s">
        <v>57</v>
      </c>
      <c r="D1526">
        <v>2025</v>
      </c>
      <c r="E1526" t="s">
        <v>63</v>
      </c>
      <c r="F1526">
        <v>757</v>
      </c>
      <c r="G1526" t="s">
        <v>143</v>
      </c>
    </row>
    <row r="1527" spans="1:7" x14ac:dyDescent="0.35">
      <c r="A1527" t="s">
        <v>38</v>
      </c>
      <c r="B1527" t="s">
        <v>96</v>
      </c>
      <c r="C1527" t="s">
        <v>57</v>
      </c>
      <c r="D1527">
        <v>2025</v>
      </c>
      <c r="E1527" t="s">
        <v>144</v>
      </c>
      <c r="F1527">
        <v>921</v>
      </c>
      <c r="G1527" t="s">
        <v>143</v>
      </c>
    </row>
    <row r="1528" spans="1:7" x14ac:dyDescent="0.35">
      <c r="A1528" t="s">
        <v>38</v>
      </c>
      <c r="B1528" t="s">
        <v>96</v>
      </c>
      <c r="C1528" t="s">
        <v>57</v>
      </c>
      <c r="D1528">
        <v>2026</v>
      </c>
      <c r="E1528" t="s">
        <v>60</v>
      </c>
      <c r="F1528">
        <v>879</v>
      </c>
      <c r="G1528" t="s">
        <v>143</v>
      </c>
    </row>
    <row r="1529" spans="1:7" x14ac:dyDescent="0.35">
      <c r="A1529" t="s">
        <v>38</v>
      </c>
      <c r="B1529" t="s">
        <v>96</v>
      </c>
      <c r="C1529" t="s">
        <v>58</v>
      </c>
      <c r="D1529">
        <v>2022</v>
      </c>
      <c r="E1529" t="s">
        <v>60</v>
      </c>
      <c r="F1529">
        <v>3</v>
      </c>
      <c r="G1529" t="s">
        <v>143</v>
      </c>
    </row>
    <row r="1530" spans="1:7" x14ac:dyDescent="0.35">
      <c r="A1530" t="s">
        <v>38</v>
      </c>
      <c r="B1530" t="s">
        <v>96</v>
      </c>
      <c r="C1530" t="s">
        <v>58</v>
      </c>
      <c r="D1530">
        <v>2022</v>
      </c>
      <c r="E1530" t="s">
        <v>61</v>
      </c>
      <c r="F1530">
        <v>14</v>
      </c>
      <c r="G1530" t="s">
        <v>143</v>
      </c>
    </row>
    <row r="1531" spans="1:7" x14ac:dyDescent="0.35">
      <c r="A1531" t="s">
        <v>38</v>
      </c>
      <c r="B1531" t="s">
        <v>96</v>
      </c>
      <c r="C1531" t="s">
        <v>58</v>
      </c>
      <c r="D1531">
        <v>2022</v>
      </c>
      <c r="E1531" t="s">
        <v>63</v>
      </c>
      <c r="F1531">
        <v>16</v>
      </c>
      <c r="G1531" t="s">
        <v>143</v>
      </c>
    </row>
    <row r="1532" spans="1:7" x14ac:dyDescent="0.35">
      <c r="A1532" t="s">
        <v>38</v>
      </c>
      <c r="B1532" t="s">
        <v>96</v>
      </c>
      <c r="C1532" t="s">
        <v>58</v>
      </c>
      <c r="D1532">
        <v>2022</v>
      </c>
      <c r="E1532" t="s">
        <v>144</v>
      </c>
      <c r="F1532">
        <v>22</v>
      </c>
      <c r="G1532" t="s">
        <v>143</v>
      </c>
    </row>
    <row r="1533" spans="1:7" x14ac:dyDescent="0.35">
      <c r="A1533" t="s">
        <v>38</v>
      </c>
      <c r="B1533" t="s">
        <v>96</v>
      </c>
      <c r="C1533" t="s">
        <v>58</v>
      </c>
      <c r="D1533">
        <v>2023</v>
      </c>
      <c r="E1533" t="s">
        <v>60</v>
      </c>
      <c r="F1533">
        <v>11</v>
      </c>
      <c r="G1533" t="s">
        <v>143</v>
      </c>
    </row>
    <row r="1534" spans="1:7" x14ac:dyDescent="0.35">
      <c r="A1534" t="s">
        <v>38</v>
      </c>
      <c r="B1534" t="s">
        <v>96</v>
      </c>
      <c r="C1534" t="s">
        <v>58</v>
      </c>
      <c r="D1534">
        <v>2023</v>
      </c>
      <c r="E1534" t="s">
        <v>61</v>
      </c>
      <c r="F1534">
        <v>11</v>
      </c>
      <c r="G1534" t="s">
        <v>143</v>
      </c>
    </row>
    <row r="1535" spans="1:7" x14ac:dyDescent="0.35">
      <c r="A1535" t="s">
        <v>38</v>
      </c>
      <c r="B1535" t="s">
        <v>96</v>
      </c>
      <c r="C1535" t="s">
        <v>58</v>
      </c>
      <c r="D1535">
        <v>2023</v>
      </c>
      <c r="E1535" t="s">
        <v>63</v>
      </c>
      <c r="F1535">
        <v>13</v>
      </c>
      <c r="G1535" t="s">
        <v>143</v>
      </c>
    </row>
    <row r="1536" spans="1:7" x14ac:dyDescent="0.35">
      <c r="A1536" t="s">
        <v>38</v>
      </c>
      <c r="B1536" t="s">
        <v>96</v>
      </c>
      <c r="C1536" t="s">
        <v>58</v>
      </c>
      <c r="D1536">
        <v>2023</v>
      </c>
      <c r="E1536" t="s">
        <v>144</v>
      </c>
      <c r="F1536">
        <v>65</v>
      </c>
      <c r="G1536" t="s">
        <v>143</v>
      </c>
    </row>
    <row r="1537" spans="1:7" x14ac:dyDescent="0.35">
      <c r="A1537" t="s">
        <v>38</v>
      </c>
      <c r="B1537" t="s">
        <v>96</v>
      </c>
      <c r="C1537" t="s">
        <v>58</v>
      </c>
      <c r="D1537">
        <v>2024</v>
      </c>
      <c r="E1537" t="s">
        <v>60</v>
      </c>
      <c r="F1537">
        <v>13</v>
      </c>
      <c r="G1537" t="s">
        <v>143</v>
      </c>
    </row>
    <row r="1538" spans="1:7" x14ac:dyDescent="0.35">
      <c r="A1538" t="s">
        <v>38</v>
      </c>
      <c r="B1538" t="s">
        <v>96</v>
      </c>
      <c r="C1538" t="s">
        <v>58</v>
      </c>
      <c r="D1538">
        <v>2024</v>
      </c>
      <c r="E1538" t="s">
        <v>61</v>
      </c>
      <c r="F1538">
        <v>10</v>
      </c>
      <c r="G1538" t="s">
        <v>143</v>
      </c>
    </row>
    <row r="1539" spans="1:7" x14ac:dyDescent="0.35">
      <c r="A1539" t="s">
        <v>38</v>
      </c>
      <c r="B1539" t="s">
        <v>96</v>
      </c>
      <c r="C1539" t="s">
        <v>58</v>
      </c>
      <c r="D1539">
        <v>2024</v>
      </c>
      <c r="E1539" t="s">
        <v>63</v>
      </c>
      <c r="F1539">
        <v>11</v>
      </c>
      <c r="G1539" t="s">
        <v>143</v>
      </c>
    </row>
    <row r="1540" spans="1:7" x14ac:dyDescent="0.35">
      <c r="A1540" t="s">
        <v>38</v>
      </c>
      <c r="B1540" t="s">
        <v>96</v>
      </c>
      <c r="C1540" t="s">
        <v>58</v>
      </c>
      <c r="D1540">
        <v>2024</v>
      </c>
      <c r="E1540" t="s">
        <v>144</v>
      </c>
      <c r="F1540">
        <v>40</v>
      </c>
      <c r="G1540" t="s">
        <v>143</v>
      </c>
    </row>
    <row r="1541" spans="1:7" x14ac:dyDescent="0.35">
      <c r="A1541" t="s">
        <v>38</v>
      </c>
      <c r="B1541" t="s">
        <v>96</v>
      </c>
      <c r="C1541" t="s">
        <v>58</v>
      </c>
      <c r="D1541">
        <v>2025</v>
      </c>
      <c r="E1541" t="s">
        <v>60</v>
      </c>
      <c r="F1541">
        <v>9</v>
      </c>
      <c r="G1541" t="s">
        <v>143</v>
      </c>
    </row>
    <row r="1542" spans="1:7" x14ac:dyDescent="0.35">
      <c r="A1542" t="s">
        <v>38</v>
      </c>
      <c r="B1542" t="s">
        <v>96</v>
      </c>
      <c r="C1542" t="s">
        <v>58</v>
      </c>
      <c r="D1542">
        <v>2025</v>
      </c>
      <c r="E1542" t="s">
        <v>61</v>
      </c>
      <c r="F1542">
        <v>19</v>
      </c>
      <c r="G1542" t="s">
        <v>143</v>
      </c>
    </row>
    <row r="1543" spans="1:7" x14ac:dyDescent="0.35">
      <c r="A1543" t="s">
        <v>38</v>
      </c>
      <c r="B1543" t="s">
        <v>96</v>
      </c>
      <c r="C1543" t="s">
        <v>58</v>
      </c>
      <c r="D1543">
        <v>2025</v>
      </c>
      <c r="E1543" t="s">
        <v>63</v>
      </c>
      <c r="F1543">
        <v>21</v>
      </c>
      <c r="G1543" t="s">
        <v>143</v>
      </c>
    </row>
    <row r="1544" spans="1:7" x14ac:dyDescent="0.35">
      <c r="A1544" t="s">
        <v>38</v>
      </c>
      <c r="B1544" t="s">
        <v>96</v>
      </c>
      <c r="C1544" t="s">
        <v>58</v>
      </c>
      <c r="D1544">
        <v>2025</v>
      </c>
      <c r="E1544" t="s">
        <v>144</v>
      </c>
      <c r="F1544">
        <v>36</v>
      </c>
      <c r="G1544" t="s">
        <v>143</v>
      </c>
    </row>
    <row r="1545" spans="1:7" x14ac:dyDescent="0.35">
      <c r="A1545" t="s">
        <v>38</v>
      </c>
      <c r="B1545" t="s">
        <v>96</v>
      </c>
      <c r="C1545" t="s">
        <v>58</v>
      </c>
      <c r="D1545">
        <v>2026</v>
      </c>
      <c r="E1545" t="s">
        <v>60</v>
      </c>
      <c r="F1545">
        <v>77</v>
      </c>
      <c r="G1545" t="s">
        <v>143</v>
      </c>
    </row>
    <row r="1546" spans="1:7" x14ac:dyDescent="0.35">
      <c r="A1546" t="s">
        <v>38</v>
      </c>
      <c r="B1546" t="s">
        <v>96</v>
      </c>
      <c r="C1546" t="s">
        <v>59</v>
      </c>
      <c r="D1546">
        <v>2022</v>
      </c>
      <c r="E1546" t="s">
        <v>60</v>
      </c>
      <c r="F1546">
        <v>98</v>
      </c>
      <c r="G1546" t="s">
        <v>143</v>
      </c>
    </row>
    <row r="1547" spans="1:7" x14ac:dyDescent="0.35">
      <c r="A1547" t="s">
        <v>38</v>
      </c>
      <c r="B1547" t="s">
        <v>96</v>
      </c>
      <c r="C1547" t="s">
        <v>59</v>
      </c>
      <c r="D1547">
        <v>2022</v>
      </c>
      <c r="E1547" t="s">
        <v>61</v>
      </c>
      <c r="F1547">
        <v>118</v>
      </c>
      <c r="G1547" t="s">
        <v>143</v>
      </c>
    </row>
    <row r="1548" spans="1:7" x14ac:dyDescent="0.35">
      <c r="A1548" t="s">
        <v>38</v>
      </c>
      <c r="B1548" t="s">
        <v>96</v>
      </c>
      <c r="C1548" t="s">
        <v>59</v>
      </c>
      <c r="D1548">
        <v>2022</v>
      </c>
      <c r="E1548" t="s">
        <v>63</v>
      </c>
      <c r="F1548">
        <v>271</v>
      </c>
      <c r="G1548" t="s">
        <v>143</v>
      </c>
    </row>
    <row r="1549" spans="1:7" x14ac:dyDescent="0.35">
      <c r="A1549" t="s">
        <v>38</v>
      </c>
      <c r="B1549" t="s">
        <v>96</v>
      </c>
      <c r="C1549" t="s">
        <v>59</v>
      </c>
      <c r="D1549">
        <v>2022</v>
      </c>
      <c r="E1549" t="s">
        <v>144</v>
      </c>
      <c r="F1549">
        <v>275</v>
      </c>
      <c r="G1549" t="s">
        <v>143</v>
      </c>
    </row>
    <row r="1550" spans="1:7" x14ac:dyDescent="0.35">
      <c r="A1550" t="s">
        <v>38</v>
      </c>
      <c r="B1550" t="s">
        <v>96</v>
      </c>
      <c r="C1550" t="s">
        <v>59</v>
      </c>
      <c r="D1550">
        <v>2023</v>
      </c>
      <c r="E1550" t="s">
        <v>60</v>
      </c>
      <c r="F1550">
        <v>228</v>
      </c>
      <c r="G1550" t="s">
        <v>143</v>
      </c>
    </row>
    <row r="1551" spans="1:7" x14ac:dyDescent="0.35">
      <c r="A1551" t="s">
        <v>38</v>
      </c>
      <c r="B1551" t="s">
        <v>96</v>
      </c>
      <c r="C1551" t="s">
        <v>59</v>
      </c>
      <c r="D1551">
        <v>2023</v>
      </c>
      <c r="E1551" t="s">
        <v>61</v>
      </c>
      <c r="F1551">
        <v>288</v>
      </c>
      <c r="G1551" t="s">
        <v>143</v>
      </c>
    </row>
    <row r="1552" spans="1:7" x14ac:dyDescent="0.35">
      <c r="A1552" t="s">
        <v>38</v>
      </c>
      <c r="B1552" t="s">
        <v>96</v>
      </c>
      <c r="C1552" t="s">
        <v>59</v>
      </c>
      <c r="D1552">
        <v>2023</v>
      </c>
      <c r="E1552" t="s">
        <v>63</v>
      </c>
      <c r="F1552">
        <v>171</v>
      </c>
      <c r="G1552" t="s">
        <v>143</v>
      </c>
    </row>
    <row r="1553" spans="1:7" x14ac:dyDescent="0.35">
      <c r="A1553" t="s">
        <v>38</v>
      </c>
      <c r="B1553" t="s">
        <v>96</v>
      </c>
      <c r="C1553" t="s">
        <v>59</v>
      </c>
      <c r="D1553">
        <v>2023</v>
      </c>
      <c r="E1553" t="s">
        <v>144</v>
      </c>
      <c r="F1553">
        <v>443</v>
      </c>
      <c r="G1553" t="s">
        <v>143</v>
      </c>
    </row>
    <row r="1554" spans="1:7" x14ac:dyDescent="0.35">
      <c r="A1554" t="s">
        <v>38</v>
      </c>
      <c r="B1554" t="s">
        <v>96</v>
      </c>
      <c r="C1554" t="s">
        <v>59</v>
      </c>
      <c r="D1554">
        <v>2024</v>
      </c>
      <c r="E1554" t="s">
        <v>60</v>
      </c>
      <c r="F1554">
        <v>448</v>
      </c>
      <c r="G1554" t="s">
        <v>143</v>
      </c>
    </row>
    <row r="1555" spans="1:7" x14ac:dyDescent="0.35">
      <c r="A1555" t="s">
        <v>38</v>
      </c>
      <c r="B1555" t="s">
        <v>96</v>
      </c>
      <c r="C1555" t="s">
        <v>59</v>
      </c>
      <c r="D1555">
        <v>2024</v>
      </c>
      <c r="E1555" t="s">
        <v>61</v>
      </c>
      <c r="F1555">
        <v>394</v>
      </c>
      <c r="G1555" t="s">
        <v>143</v>
      </c>
    </row>
    <row r="1556" spans="1:7" x14ac:dyDescent="0.35">
      <c r="A1556" t="s">
        <v>38</v>
      </c>
      <c r="B1556" t="s">
        <v>96</v>
      </c>
      <c r="C1556" t="s">
        <v>59</v>
      </c>
      <c r="D1556">
        <v>2024</v>
      </c>
      <c r="E1556" t="s">
        <v>63</v>
      </c>
      <c r="F1556">
        <v>609</v>
      </c>
      <c r="G1556" t="s">
        <v>143</v>
      </c>
    </row>
    <row r="1557" spans="1:7" x14ac:dyDescent="0.35">
      <c r="A1557" t="s">
        <v>38</v>
      </c>
      <c r="B1557" t="s">
        <v>96</v>
      </c>
      <c r="C1557" t="s">
        <v>59</v>
      </c>
      <c r="D1557">
        <v>2024</v>
      </c>
      <c r="E1557" t="s">
        <v>144</v>
      </c>
      <c r="F1557">
        <v>507</v>
      </c>
      <c r="G1557" t="s">
        <v>143</v>
      </c>
    </row>
    <row r="1558" spans="1:7" x14ac:dyDescent="0.35">
      <c r="A1558" t="s">
        <v>38</v>
      </c>
      <c r="B1558" t="s">
        <v>96</v>
      </c>
      <c r="C1558" t="s">
        <v>59</v>
      </c>
      <c r="D1558">
        <v>2025</v>
      </c>
      <c r="E1558" t="s">
        <v>60</v>
      </c>
      <c r="F1558">
        <v>232</v>
      </c>
      <c r="G1558" t="s">
        <v>143</v>
      </c>
    </row>
    <row r="1559" spans="1:7" x14ac:dyDescent="0.35">
      <c r="A1559" t="s">
        <v>38</v>
      </c>
      <c r="B1559" t="s">
        <v>96</v>
      </c>
      <c r="C1559" t="s">
        <v>59</v>
      </c>
      <c r="D1559">
        <v>2025</v>
      </c>
      <c r="E1559" t="s">
        <v>61</v>
      </c>
      <c r="F1559">
        <v>312</v>
      </c>
      <c r="G1559" t="s">
        <v>143</v>
      </c>
    </row>
    <row r="1560" spans="1:7" x14ac:dyDescent="0.35">
      <c r="A1560" t="s">
        <v>38</v>
      </c>
      <c r="B1560" t="s">
        <v>96</v>
      </c>
      <c r="C1560" t="s">
        <v>59</v>
      </c>
      <c r="D1560">
        <v>2025</v>
      </c>
      <c r="E1560" t="s">
        <v>63</v>
      </c>
      <c r="F1560">
        <v>549</v>
      </c>
      <c r="G1560" t="s">
        <v>143</v>
      </c>
    </row>
    <row r="1561" spans="1:7" x14ac:dyDescent="0.35">
      <c r="A1561" t="s">
        <v>38</v>
      </c>
      <c r="B1561" t="s">
        <v>96</v>
      </c>
      <c r="C1561" t="s">
        <v>59</v>
      </c>
      <c r="D1561">
        <v>2025</v>
      </c>
      <c r="E1561" t="s">
        <v>144</v>
      </c>
      <c r="F1561">
        <v>738</v>
      </c>
      <c r="G1561" t="s">
        <v>143</v>
      </c>
    </row>
    <row r="1562" spans="1:7" x14ac:dyDescent="0.35">
      <c r="A1562" t="s">
        <v>38</v>
      </c>
      <c r="B1562" t="s">
        <v>96</v>
      </c>
      <c r="C1562" t="s">
        <v>59</v>
      </c>
      <c r="D1562">
        <v>2026</v>
      </c>
      <c r="E1562" t="s">
        <v>60</v>
      </c>
      <c r="F1562">
        <v>725</v>
      </c>
      <c r="G1562" t="s">
        <v>143</v>
      </c>
    </row>
    <row r="1563" spans="1:7" x14ac:dyDescent="0.35">
      <c r="A1563" t="s">
        <v>39</v>
      </c>
      <c r="B1563" t="s">
        <v>97</v>
      </c>
      <c r="C1563" t="s">
        <v>57</v>
      </c>
      <c r="D1563">
        <v>2022</v>
      </c>
      <c r="E1563" t="s">
        <v>60</v>
      </c>
      <c r="F1563">
        <v>118</v>
      </c>
      <c r="G1563" t="s">
        <v>143</v>
      </c>
    </row>
    <row r="1564" spans="1:7" x14ac:dyDescent="0.35">
      <c r="A1564" t="s">
        <v>39</v>
      </c>
      <c r="B1564" t="s">
        <v>97</v>
      </c>
      <c r="C1564" t="s">
        <v>57</v>
      </c>
      <c r="D1564">
        <v>2022</v>
      </c>
      <c r="E1564" t="s">
        <v>61</v>
      </c>
      <c r="F1564">
        <v>112</v>
      </c>
      <c r="G1564" t="s">
        <v>143</v>
      </c>
    </row>
    <row r="1565" spans="1:7" x14ac:dyDescent="0.35">
      <c r="A1565" t="s">
        <v>39</v>
      </c>
      <c r="B1565" t="s">
        <v>97</v>
      </c>
      <c r="C1565" t="s">
        <v>57</v>
      </c>
      <c r="D1565">
        <v>2022</v>
      </c>
      <c r="E1565" t="s">
        <v>63</v>
      </c>
      <c r="F1565">
        <v>121</v>
      </c>
      <c r="G1565" t="s">
        <v>143</v>
      </c>
    </row>
    <row r="1566" spans="1:7" x14ac:dyDescent="0.35">
      <c r="A1566" t="s">
        <v>39</v>
      </c>
      <c r="B1566" t="s">
        <v>97</v>
      </c>
      <c r="C1566" t="s">
        <v>57</v>
      </c>
      <c r="D1566">
        <v>2022</v>
      </c>
      <c r="E1566" t="s">
        <v>144</v>
      </c>
      <c r="F1566">
        <v>135</v>
      </c>
      <c r="G1566" t="s">
        <v>143</v>
      </c>
    </row>
    <row r="1567" spans="1:7" x14ac:dyDescent="0.35">
      <c r="A1567" t="s">
        <v>39</v>
      </c>
      <c r="B1567" t="s">
        <v>97</v>
      </c>
      <c r="C1567" t="s">
        <v>57</v>
      </c>
      <c r="D1567">
        <v>2023</v>
      </c>
      <c r="E1567" t="s">
        <v>60</v>
      </c>
      <c r="F1567">
        <v>142</v>
      </c>
      <c r="G1567" t="s">
        <v>143</v>
      </c>
    </row>
    <row r="1568" spans="1:7" x14ac:dyDescent="0.35">
      <c r="A1568" t="s">
        <v>39</v>
      </c>
      <c r="B1568" t="s">
        <v>97</v>
      </c>
      <c r="C1568" t="s">
        <v>57</v>
      </c>
      <c r="D1568">
        <v>2023</v>
      </c>
      <c r="E1568" t="s">
        <v>61</v>
      </c>
      <c r="F1568">
        <v>153</v>
      </c>
      <c r="G1568" t="s">
        <v>143</v>
      </c>
    </row>
    <row r="1569" spans="1:7" x14ac:dyDescent="0.35">
      <c r="A1569" t="s">
        <v>39</v>
      </c>
      <c r="B1569" t="s">
        <v>97</v>
      </c>
      <c r="C1569" t="s">
        <v>57</v>
      </c>
      <c r="D1569">
        <v>2023</v>
      </c>
      <c r="E1569" t="s">
        <v>63</v>
      </c>
      <c r="F1569">
        <v>137</v>
      </c>
      <c r="G1569" t="s">
        <v>143</v>
      </c>
    </row>
    <row r="1570" spans="1:7" x14ac:dyDescent="0.35">
      <c r="A1570" t="s">
        <v>39</v>
      </c>
      <c r="B1570" t="s">
        <v>97</v>
      </c>
      <c r="C1570" t="s">
        <v>57</v>
      </c>
      <c r="D1570">
        <v>2023</v>
      </c>
      <c r="E1570" t="s">
        <v>144</v>
      </c>
      <c r="F1570">
        <v>151</v>
      </c>
      <c r="G1570" t="s">
        <v>143</v>
      </c>
    </row>
    <row r="1571" spans="1:7" x14ac:dyDescent="0.35">
      <c r="A1571" t="s">
        <v>39</v>
      </c>
      <c r="B1571" t="s">
        <v>97</v>
      </c>
      <c r="C1571" t="s">
        <v>57</v>
      </c>
      <c r="D1571">
        <v>2024</v>
      </c>
      <c r="E1571" t="s">
        <v>60</v>
      </c>
      <c r="F1571">
        <v>146</v>
      </c>
      <c r="G1571" t="s">
        <v>143</v>
      </c>
    </row>
    <row r="1572" spans="1:7" x14ac:dyDescent="0.35">
      <c r="A1572" t="s">
        <v>39</v>
      </c>
      <c r="B1572" t="s">
        <v>97</v>
      </c>
      <c r="C1572" t="s">
        <v>57</v>
      </c>
      <c r="D1572">
        <v>2024</v>
      </c>
      <c r="E1572" t="s">
        <v>61</v>
      </c>
      <c r="F1572">
        <v>152</v>
      </c>
      <c r="G1572" t="s">
        <v>143</v>
      </c>
    </row>
    <row r="1573" spans="1:7" x14ac:dyDescent="0.35">
      <c r="A1573" t="s">
        <v>39</v>
      </c>
      <c r="B1573" t="s">
        <v>97</v>
      </c>
      <c r="C1573" t="s">
        <v>57</v>
      </c>
      <c r="D1573">
        <v>2024</v>
      </c>
      <c r="E1573" t="s">
        <v>63</v>
      </c>
      <c r="F1573">
        <v>145</v>
      </c>
      <c r="G1573" t="s">
        <v>143</v>
      </c>
    </row>
    <row r="1574" spans="1:7" x14ac:dyDescent="0.35">
      <c r="A1574" t="s">
        <v>39</v>
      </c>
      <c r="B1574" t="s">
        <v>97</v>
      </c>
      <c r="C1574" t="s">
        <v>57</v>
      </c>
      <c r="D1574">
        <v>2024</v>
      </c>
      <c r="E1574" t="s">
        <v>144</v>
      </c>
      <c r="F1574">
        <v>163</v>
      </c>
      <c r="G1574" t="s">
        <v>143</v>
      </c>
    </row>
    <row r="1575" spans="1:7" x14ac:dyDescent="0.35">
      <c r="A1575" t="s">
        <v>39</v>
      </c>
      <c r="B1575" t="s">
        <v>97</v>
      </c>
      <c r="C1575" t="s">
        <v>57</v>
      </c>
      <c r="D1575">
        <v>2025</v>
      </c>
      <c r="E1575" t="s">
        <v>60</v>
      </c>
      <c r="F1575">
        <v>150</v>
      </c>
      <c r="G1575" t="s">
        <v>143</v>
      </c>
    </row>
    <row r="1576" spans="1:7" x14ac:dyDescent="0.35">
      <c r="A1576" t="s">
        <v>39</v>
      </c>
      <c r="B1576" t="s">
        <v>97</v>
      </c>
      <c r="C1576" t="s">
        <v>57</v>
      </c>
      <c r="D1576">
        <v>2025</v>
      </c>
      <c r="E1576" t="s">
        <v>61</v>
      </c>
      <c r="F1576">
        <v>158</v>
      </c>
      <c r="G1576" t="s">
        <v>143</v>
      </c>
    </row>
    <row r="1577" spans="1:7" x14ac:dyDescent="0.35">
      <c r="A1577" t="s">
        <v>39</v>
      </c>
      <c r="B1577" t="s">
        <v>97</v>
      </c>
      <c r="C1577" t="s">
        <v>57</v>
      </c>
      <c r="D1577">
        <v>2025</v>
      </c>
      <c r="E1577" t="s">
        <v>63</v>
      </c>
      <c r="F1577">
        <v>161</v>
      </c>
      <c r="G1577" t="s">
        <v>143</v>
      </c>
    </row>
    <row r="1578" spans="1:7" x14ac:dyDescent="0.35">
      <c r="A1578" t="s">
        <v>39</v>
      </c>
      <c r="B1578" t="s">
        <v>97</v>
      </c>
      <c r="C1578" t="s">
        <v>57</v>
      </c>
      <c r="D1578">
        <v>2025</v>
      </c>
      <c r="E1578" t="s">
        <v>144</v>
      </c>
      <c r="F1578">
        <v>177</v>
      </c>
      <c r="G1578" t="s">
        <v>143</v>
      </c>
    </row>
    <row r="1579" spans="1:7" x14ac:dyDescent="0.35">
      <c r="A1579" t="s">
        <v>39</v>
      </c>
      <c r="B1579" t="s">
        <v>97</v>
      </c>
      <c r="C1579" t="s">
        <v>57</v>
      </c>
      <c r="D1579">
        <v>2026</v>
      </c>
      <c r="E1579" t="s">
        <v>60</v>
      </c>
      <c r="F1579">
        <v>160</v>
      </c>
      <c r="G1579" t="s">
        <v>143</v>
      </c>
    </row>
    <row r="1580" spans="1:7" x14ac:dyDescent="0.35">
      <c r="A1580" t="s">
        <v>39</v>
      </c>
      <c r="B1580" t="s">
        <v>97</v>
      </c>
      <c r="C1580" t="s">
        <v>58</v>
      </c>
      <c r="D1580">
        <v>2022</v>
      </c>
      <c r="E1580" t="s">
        <v>60</v>
      </c>
      <c r="F1580">
        <v>218</v>
      </c>
      <c r="G1580" t="s">
        <v>143</v>
      </c>
    </row>
    <row r="1581" spans="1:7" x14ac:dyDescent="0.35">
      <c r="A1581" t="s">
        <v>39</v>
      </c>
      <c r="B1581" t="s">
        <v>97</v>
      </c>
      <c r="C1581" t="s">
        <v>58</v>
      </c>
      <c r="D1581">
        <v>2022</v>
      </c>
      <c r="E1581" t="s">
        <v>61</v>
      </c>
      <c r="F1581">
        <v>164</v>
      </c>
      <c r="G1581" t="s">
        <v>143</v>
      </c>
    </row>
    <row r="1582" spans="1:7" x14ac:dyDescent="0.35">
      <c r="A1582" t="s">
        <v>39</v>
      </c>
      <c r="B1582" t="s">
        <v>97</v>
      </c>
      <c r="C1582" t="s">
        <v>58</v>
      </c>
      <c r="D1582">
        <v>2022</v>
      </c>
      <c r="E1582" t="s">
        <v>63</v>
      </c>
      <c r="F1582">
        <v>254</v>
      </c>
      <c r="G1582" t="s">
        <v>143</v>
      </c>
    </row>
    <row r="1583" spans="1:7" x14ac:dyDescent="0.35">
      <c r="A1583" t="s">
        <v>39</v>
      </c>
      <c r="B1583" t="s">
        <v>97</v>
      </c>
      <c r="C1583" t="s">
        <v>58</v>
      </c>
      <c r="D1583">
        <v>2022</v>
      </c>
      <c r="E1583" t="s">
        <v>144</v>
      </c>
      <c r="F1583">
        <v>111</v>
      </c>
      <c r="G1583" t="s">
        <v>143</v>
      </c>
    </row>
    <row r="1584" spans="1:7" x14ac:dyDescent="0.35">
      <c r="A1584" t="s">
        <v>39</v>
      </c>
      <c r="B1584" t="s">
        <v>97</v>
      </c>
      <c r="C1584" t="s">
        <v>58</v>
      </c>
      <c r="D1584">
        <v>2023</v>
      </c>
      <c r="E1584" t="s">
        <v>60</v>
      </c>
      <c r="F1584">
        <v>135</v>
      </c>
      <c r="G1584" t="s">
        <v>143</v>
      </c>
    </row>
    <row r="1585" spans="1:7" x14ac:dyDescent="0.35">
      <c r="A1585" t="s">
        <v>39</v>
      </c>
      <c r="B1585" t="s">
        <v>97</v>
      </c>
      <c r="C1585" t="s">
        <v>58</v>
      </c>
      <c r="D1585">
        <v>2023</v>
      </c>
      <c r="E1585" t="s">
        <v>61</v>
      </c>
      <c r="F1585">
        <v>103</v>
      </c>
      <c r="G1585" t="s">
        <v>143</v>
      </c>
    </row>
    <row r="1586" spans="1:7" x14ac:dyDescent="0.35">
      <c r="A1586" t="s">
        <v>39</v>
      </c>
      <c r="B1586" t="s">
        <v>97</v>
      </c>
      <c r="C1586" t="s">
        <v>58</v>
      </c>
      <c r="D1586">
        <v>2023</v>
      </c>
      <c r="E1586" t="s">
        <v>63</v>
      </c>
      <c r="F1586">
        <v>112</v>
      </c>
      <c r="G1586" t="s">
        <v>143</v>
      </c>
    </row>
    <row r="1587" spans="1:7" x14ac:dyDescent="0.35">
      <c r="A1587" t="s">
        <v>39</v>
      </c>
      <c r="B1587" t="s">
        <v>97</v>
      </c>
      <c r="C1587" t="s">
        <v>58</v>
      </c>
      <c r="D1587">
        <v>2023</v>
      </c>
      <c r="E1587" t="s">
        <v>144</v>
      </c>
      <c r="F1587">
        <v>124</v>
      </c>
      <c r="G1587" t="s">
        <v>143</v>
      </c>
    </row>
    <row r="1588" spans="1:7" x14ac:dyDescent="0.35">
      <c r="A1588" t="s">
        <v>39</v>
      </c>
      <c r="B1588" t="s">
        <v>97</v>
      </c>
      <c r="C1588" t="s">
        <v>58</v>
      </c>
      <c r="D1588">
        <v>2024</v>
      </c>
      <c r="E1588" t="s">
        <v>60</v>
      </c>
      <c r="F1588">
        <v>112</v>
      </c>
      <c r="G1588" t="s">
        <v>143</v>
      </c>
    </row>
    <row r="1589" spans="1:7" x14ac:dyDescent="0.35">
      <c r="A1589" t="s">
        <v>39</v>
      </c>
      <c r="B1589" t="s">
        <v>97</v>
      </c>
      <c r="C1589" t="s">
        <v>58</v>
      </c>
      <c r="D1589">
        <v>2024</v>
      </c>
      <c r="E1589" t="s">
        <v>61</v>
      </c>
      <c r="F1589">
        <v>109</v>
      </c>
      <c r="G1589" t="s">
        <v>143</v>
      </c>
    </row>
    <row r="1590" spans="1:7" x14ac:dyDescent="0.35">
      <c r="A1590" t="s">
        <v>39</v>
      </c>
      <c r="B1590" t="s">
        <v>97</v>
      </c>
      <c r="C1590" t="s">
        <v>58</v>
      </c>
      <c r="D1590">
        <v>2024</v>
      </c>
      <c r="E1590" t="s">
        <v>63</v>
      </c>
      <c r="F1590">
        <v>65</v>
      </c>
      <c r="G1590" t="s">
        <v>143</v>
      </c>
    </row>
    <row r="1591" spans="1:7" x14ac:dyDescent="0.35">
      <c r="A1591" t="s">
        <v>39</v>
      </c>
      <c r="B1591" t="s">
        <v>97</v>
      </c>
      <c r="C1591" t="s">
        <v>58</v>
      </c>
      <c r="D1591">
        <v>2024</v>
      </c>
      <c r="E1591" t="s">
        <v>144</v>
      </c>
      <c r="F1591">
        <v>170</v>
      </c>
      <c r="G1591" t="s">
        <v>143</v>
      </c>
    </row>
    <row r="1592" spans="1:7" x14ac:dyDescent="0.35">
      <c r="A1592" t="s">
        <v>39</v>
      </c>
      <c r="B1592" t="s">
        <v>97</v>
      </c>
      <c r="C1592" t="s">
        <v>58</v>
      </c>
      <c r="D1592">
        <v>2025</v>
      </c>
      <c r="E1592" t="s">
        <v>60</v>
      </c>
      <c r="F1592">
        <v>54</v>
      </c>
      <c r="G1592" t="s">
        <v>143</v>
      </c>
    </row>
    <row r="1593" spans="1:7" x14ac:dyDescent="0.35">
      <c r="A1593" t="s">
        <v>39</v>
      </c>
      <c r="B1593" t="s">
        <v>97</v>
      </c>
      <c r="C1593" t="s">
        <v>58</v>
      </c>
      <c r="D1593">
        <v>2025</v>
      </c>
      <c r="E1593" t="s">
        <v>61</v>
      </c>
      <c r="F1593">
        <v>88</v>
      </c>
      <c r="G1593" t="s">
        <v>143</v>
      </c>
    </row>
    <row r="1594" spans="1:7" x14ac:dyDescent="0.35">
      <c r="A1594" t="s">
        <v>39</v>
      </c>
      <c r="B1594" t="s">
        <v>97</v>
      </c>
      <c r="C1594" t="s">
        <v>58</v>
      </c>
      <c r="D1594">
        <v>2025</v>
      </c>
      <c r="E1594" t="s">
        <v>63</v>
      </c>
      <c r="F1594">
        <v>58</v>
      </c>
      <c r="G1594" t="s">
        <v>143</v>
      </c>
    </row>
    <row r="1595" spans="1:7" x14ac:dyDescent="0.35">
      <c r="A1595" t="s">
        <v>39</v>
      </c>
      <c r="B1595" t="s">
        <v>97</v>
      </c>
      <c r="C1595" t="s">
        <v>58</v>
      </c>
      <c r="D1595">
        <v>2025</v>
      </c>
      <c r="E1595" t="s">
        <v>144</v>
      </c>
      <c r="F1595">
        <v>100</v>
      </c>
      <c r="G1595" t="s">
        <v>143</v>
      </c>
    </row>
    <row r="1596" spans="1:7" x14ac:dyDescent="0.35">
      <c r="A1596" t="s">
        <v>39</v>
      </c>
      <c r="B1596" t="s">
        <v>97</v>
      </c>
      <c r="C1596" t="s">
        <v>58</v>
      </c>
      <c r="D1596">
        <v>2026</v>
      </c>
      <c r="E1596" t="s">
        <v>60</v>
      </c>
      <c r="F1596">
        <v>129</v>
      </c>
      <c r="G1596" t="s">
        <v>143</v>
      </c>
    </row>
    <row r="1597" spans="1:7" x14ac:dyDescent="0.35">
      <c r="A1597" t="s">
        <v>39</v>
      </c>
      <c r="B1597" t="s">
        <v>97</v>
      </c>
      <c r="C1597" t="s">
        <v>59</v>
      </c>
      <c r="D1597">
        <v>2022</v>
      </c>
      <c r="E1597" t="s">
        <v>60</v>
      </c>
      <c r="F1597">
        <v>2510</v>
      </c>
      <c r="G1597" t="s">
        <v>143</v>
      </c>
    </row>
    <row r="1598" spans="1:7" x14ac:dyDescent="0.35">
      <c r="A1598" t="s">
        <v>39</v>
      </c>
      <c r="B1598" t="s">
        <v>97</v>
      </c>
      <c r="C1598" t="s">
        <v>59</v>
      </c>
      <c r="D1598">
        <v>2022</v>
      </c>
      <c r="E1598" t="s">
        <v>61</v>
      </c>
      <c r="F1598">
        <v>2835</v>
      </c>
      <c r="G1598" t="s">
        <v>143</v>
      </c>
    </row>
    <row r="1599" spans="1:7" x14ac:dyDescent="0.35">
      <c r="A1599" t="s">
        <v>39</v>
      </c>
      <c r="B1599" t="s">
        <v>97</v>
      </c>
      <c r="C1599" t="s">
        <v>59</v>
      </c>
      <c r="D1599">
        <v>2022</v>
      </c>
      <c r="E1599" t="s">
        <v>63</v>
      </c>
      <c r="F1599">
        <v>2708</v>
      </c>
      <c r="G1599" t="s">
        <v>143</v>
      </c>
    </row>
    <row r="1600" spans="1:7" x14ac:dyDescent="0.35">
      <c r="A1600" t="s">
        <v>39</v>
      </c>
      <c r="B1600" t="s">
        <v>97</v>
      </c>
      <c r="C1600" t="s">
        <v>59</v>
      </c>
      <c r="D1600">
        <v>2022</v>
      </c>
      <c r="E1600" t="s">
        <v>144</v>
      </c>
      <c r="F1600">
        <v>2816</v>
      </c>
      <c r="G1600" t="s">
        <v>143</v>
      </c>
    </row>
    <row r="1601" spans="1:7" x14ac:dyDescent="0.35">
      <c r="A1601" t="s">
        <v>39</v>
      </c>
      <c r="B1601" t="s">
        <v>97</v>
      </c>
      <c r="C1601" t="s">
        <v>59</v>
      </c>
      <c r="D1601">
        <v>2023</v>
      </c>
      <c r="E1601" t="s">
        <v>60</v>
      </c>
      <c r="F1601">
        <v>2362</v>
      </c>
      <c r="G1601" t="s">
        <v>143</v>
      </c>
    </row>
    <row r="1602" spans="1:7" x14ac:dyDescent="0.35">
      <c r="A1602" t="s">
        <v>39</v>
      </c>
      <c r="B1602" t="s">
        <v>97</v>
      </c>
      <c r="C1602" t="s">
        <v>59</v>
      </c>
      <c r="D1602">
        <v>2023</v>
      </c>
      <c r="E1602" t="s">
        <v>61</v>
      </c>
      <c r="F1602">
        <v>2604</v>
      </c>
      <c r="G1602" t="s">
        <v>143</v>
      </c>
    </row>
    <row r="1603" spans="1:7" x14ac:dyDescent="0.35">
      <c r="A1603" t="s">
        <v>39</v>
      </c>
      <c r="B1603" t="s">
        <v>97</v>
      </c>
      <c r="C1603" t="s">
        <v>59</v>
      </c>
      <c r="D1603">
        <v>2023</v>
      </c>
      <c r="E1603" t="s">
        <v>63</v>
      </c>
      <c r="F1603">
        <v>2636</v>
      </c>
      <c r="G1603" t="s">
        <v>143</v>
      </c>
    </row>
    <row r="1604" spans="1:7" x14ac:dyDescent="0.35">
      <c r="A1604" t="s">
        <v>39</v>
      </c>
      <c r="B1604" t="s">
        <v>97</v>
      </c>
      <c r="C1604" t="s">
        <v>59</v>
      </c>
      <c r="D1604">
        <v>2023</v>
      </c>
      <c r="E1604" t="s">
        <v>144</v>
      </c>
      <c r="F1604">
        <v>2670</v>
      </c>
      <c r="G1604" t="s">
        <v>143</v>
      </c>
    </row>
    <row r="1605" spans="1:7" x14ac:dyDescent="0.35">
      <c r="A1605" t="s">
        <v>39</v>
      </c>
      <c r="B1605" t="s">
        <v>97</v>
      </c>
      <c r="C1605" t="s">
        <v>59</v>
      </c>
      <c r="D1605">
        <v>2024</v>
      </c>
      <c r="E1605" t="s">
        <v>60</v>
      </c>
      <c r="F1605">
        <v>2663</v>
      </c>
      <c r="G1605" t="s">
        <v>143</v>
      </c>
    </row>
    <row r="1606" spans="1:7" x14ac:dyDescent="0.35">
      <c r="A1606" t="s">
        <v>39</v>
      </c>
      <c r="B1606" t="s">
        <v>97</v>
      </c>
      <c r="C1606" t="s">
        <v>59</v>
      </c>
      <c r="D1606">
        <v>2024</v>
      </c>
      <c r="E1606" t="s">
        <v>61</v>
      </c>
      <c r="F1606">
        <v>2551</v>
      </c>
      <c r="G1606" t="s">
        <v>143</v>
      </c>
    </row>
    <row r="1607" spans="1:7" x14ac:dyDescent="0.35">
      <c r="A1607" t="s">
        <v>39</v>
      </c>
      <c r="B1607" t="s">
        <v>97</v>
      </c>
      <c r="C1607" t="s">
        <v>59</v>
      </c>
      <c r="D1607">
        <v>2024</v>
      </c>
      <c r="E1607" t="s">
        <v>63</v>
      </c>
      <c r="F1607">
        <v>2783</v>
      </c>
      <c r="G1607" t="s">
        <v>143</v>
      </c>
    </row>
    <row r="1608" spans="1:7" x14ac:dyDescent="0.35">
      <c r="A1608" t="s">
        <v>39</v>
      </c>
      <c r="B1608" t="s">
        <v>97</v>
      </c>
      <c r="C1608" t="s">
        <v>59</v>
      </c>
      <c r="D1608">
        <v>2024</v>
      </c>
      <c r="E1608" t="s">
        <v>144</v>
      </c>
      <c r="F1608">
        <v>2529</v>
      </c>
      <c r="G1608" t="s">
        <v>143</v>
      </c>
    </row>
    <row r="1609" spans="1:7" x14ac:dyDescent="0.35">
      <c r="A1609" t="s">
        <v>39</v>
      </c>
      <c r="B1609" t="s">
        <v>97</v>
      </c>
      <c r="C1609" t="s">
        <v>59</v>
      </c>
      <c r="D1609">
        <v>2025</v>
      </c>
      <c r="E1609" t="s">
        <v>60</v>
      </c>
      <c r="F1609">
        <v>2552</v>
      </c>
      <c r="G1609" t="s">
        <v>143</v>
      </c>
    </row>
    <row r="1610" spans="1:7" x14ac:dyDescent="0.35">
      <c r="A1610" t="s">
        <v>39</v>
      </c>
      <c r="B1610" t="s">
        <v>97</v>
      </c>
      <c r="C1610" t="s">
        <v>59</v>
      </c>
      <c r="D1610">
        <v>2025</v>
      </c>
      <c r="E1610" t="s">
        <v>61</v>
      </c>
      <c r="F1610">
        <v>2845</v>
      </c>
      <c r="G1610" t="s">
        <v>143</v>
      </c>
    </row>
    <row r="1611" spans="1:7" x14ac:dyDescent="0.35">
      <c r="A1611" t="s">
        <v>39</v>
      </c>
      <c r="B1611" t="s">
        <v>97</v>
      </c>
      <c r="C1611" t="s">
        <v>59</v>
      </c>
      <c r="D1611">
        <v>2025</v>
      </c>
      <c r="E1611" t="s">
        <v>63</v>
      </c>
      <c r="F1611">
        <v>2814</v>
      </c>
      <c r="G1611" t="s">
        <v>143</v>
      </c>
    </row>
    <row r="1612" spans="1:7" x14ac:dyDescent="0.35">
      <c r="A1612" t="s">
        <v>39</v>
      </c>
      <c r="B1612" t="s">
        <v>97</v>
      </c>
      <c r="C1612" t="s">
        <v>59</v>
      </c>
      <c r="D1612">
        <v>2025</v>
      </c>
      <c r="E1612" t="s">
        <v>144</v>
      </c>
      <c r="F1612">
        <v>2805</v>
      </c>
      <c r="G1612" t="s">
        <v>143</v>
      </c>
    </row>
    <row r="1613" spans="1:7" x14ac:dyDescent="0.35">
      <c r="A1613" t="s">
        <v>39</v>
      </c>
      <c r="B1613" t="s">
        <v>97</v>
      </c>
      <c r="C1613" t="s">
        <v>59</v>
      </c>
      <c r="D1613">
        <v>2026</v>
      </c>
      <c r="E1613" t="s">
        <v>60</v>
      </c>
      <c r="F1613">
        <v>2853</v>
      </c>
      <c r="G1613" t="s">
        <v>143</v>
      </c>
    </row>
    <row r="1614" spans="1:7" hidden="1" x14ac:dyDescent="0.35">
      <c r="A1614" t="s">
        <v>1</v>
      </c>
      <c r="B1614" t="s">
        <v>64</v>
      </c>
      <c r="C1614" t="s">
        <v>57</v>
      </c>
      <c r="D1614">
        <v>2022</v>
      </c>
      <c r="E1614" t="s">
        <v>62</v>
      </c>
      <c r="F1614">
        <v>3082</v>
      </c>
      <c r="G1614" t="s">
        <v>145</v>
      </c>
    </row>
    <row r="1615" spans="1:7" hidden="1" x14ac:dyDescent="0.35">
      <c r="A1615" t="s">
        <v>1</v>
      </c>
      <c r="B1615" t="s">
        <v>64</v>
      </c>
      <c r="C1615" t="s">
        <v>57</v>
      </c>
      <c r="D1615">
        <v>2022</v>
      </c>
      <c r="E1615" t="s">
        <v>98</v>
      </c>
      <c r="F1615">
        <v>2321</v>
      </c>
      <c r="G1615" t="s">
        <v>145</v>
      </c>
    </row>
    <row r="1616" spans="1:7" hidden="1" x14ac:dyDescent="0.35">
      <c r="A1616" t="s">
        <v>1</v>
      </c>
      <c r="B1616" t="s">
        <v>64</v>
      </c>
      <c r="C1616" t="s">
        <v>57</v>
      </c>
      <c r="D1616">
        <v>2023</v>
      </c>
      <c r="E1616" t="s">
        <v>62</v>
      </c>
      <c r="F1616">
        <v>3085</v>
      </c>
      <c r="G1616" t="s">
        <v>145</v>
      </c>
    </row>
    <row r="1617" spans="1:7" hidden="1" x14ac:dyDescent="0.35">
      <c r="A1617" t="s">
        <v>1</v>
      </c>
      <c r="B1617" t="s">
        <v>64</v>
      </c>
      <c r="C1617" t="s">
        <v>57</v>
      </c>
      <c r="D1617">
        <v>2023</v>
      </c>
      <c r="E1617" t="s">
        <v>98</v>
      </c>
      <c r="F1617">
        <v>2027</v>
      </c>
      <c r="G1617" t="s">
        <v>145</v>
      </c>
    </row>
    <row r="1618" spans="1:7" hidden="1" x14ac:dyDescent="0.35">
      <c r="A1618" t="s">
        <v>1</v>
      </c>
      <c r="B1618" t="s">
        <v>64</v>
      </c>
      <c r="C1618" t="s">
        <v>57</v>
      </c>
      <c r="D1618">
        <v>2024</v>
      </c>
      <c r="E1618" t="s">
        <v>62</v>
      </c>
      <c r="F1618">
        <v>3096</v>
      </c>
      <c r="G1618" t="s">
        <v>145</v>
      </c>
    </row>
    <row r="1619" spans="1:7" hidden="1" x14ac:dyDescent="0.35">
      <c r="A1619" t="s">
        <v>1</v>
      </c>
      <c r="B1619" t="s">
        <v>64</v>
      </c>
      <c r="C1619" t="s">
        <v>57</v>
      </c>
      <c r="D1619">
        <v>2024</v>
      </c>
      <c r="E1619" t="s">
        <v>98</v>
      </c>
      <c r="F1619">
        <v>2164</v>
      </c>
      <c r="G1619" t="s">
        <v>145</v>
      </c>
    </row>
    <row r="1620" spans="1:7" hidden="1" x14ac:dyDescent="0.35">
      <c r="A1620" t="s">
        <v>1</v>
      </c>
      <c r="B1620" t="s">
        <v>64</v>
      </c>
      <c r="C1620" t="s">
        <v>57</v>
      </c>
      <c r="D1620">
        <v>2025</v>
      </c>
      <c r="E1620" t="s">
        <v>62</v>
      </c>
      <c r="F1620">
        <v>3663</v>
      </c>
      <c r="G1620" t="s">
        <v>145</v>
      </c>
    </row>
    <row r="1621" spans="1:7" hidden="1" x14ac:dyDescent="0.35">
      <c r="A1621" t="s">
        <v>1</v>
      </c>
      <c r="B1621" t="s">
        <v>64</v>
      </c>
      <c r="C1621" t="s">
        <v>57</v>
      </c>
      <c r="D1621">
        <v>2025</v>
      </c>
      <c r="E1621" t="s">
        <v>98</v>
      </c>
      <c r="F1621">
        <v>2387</v>
      </c>
      <c r="G1621" t="s">
        <v>145</v>
      </c>
    </row>
    <row r="1622" spans="1:7" hidden="1" x14ac:dyDescent="0.35">
      <c r="A1622" t="s">
        <v>2</v>
      </c>
      <c r="B1622" t="s">
        <v>65</v>
      </c>
      <c r="C1622" t="s">
        <v>57</v>
      </c>
      <c r="D1622">
        <v>2022</v>
      </c>
      <c r="E1622" t="s">
        <v>62</v>
      </c>
      <c r="F1622">
        <v>5893</v>
      </c>
      <c r="G1622" t="s">
        <v>145</v>
      </c>
    </row>
    <row r="1623" spans="1:7" hidden="1" x14ac:dyDescent="0.35">
      <c r="A1623" t="s">
        <v>2</v>
      </c>
      <c r="B1623" t="s">
        <v>65</v>
      </c>
      <c r="C1623" t="s">
        <v>57</v>
      </c>
      <c r="D1623">
        <v>2022</v>
      </c>
      <c r="E1623" t="s">
        <v>98</v>
      </c>
      <c r="F1623">
        <v>5745</v>
      </c>
      <c r="G1623" t="s">
        <v>145</v>
      </c>
    </row>
    <row r="1624" spans="1:7" hidden="1" x14ac:dyDescent="0.35">
      <c r="A1624" t="s">
        <v>2</v>
      </c>
      <c r="B1624" t="s">
        <v>65</v>
      </c>
      <c r="C1624" t="s">
        <v>57</v>
      </c>
      <c r="D1624">
        <v>2023</v>
      </c>
      <c r="E1624" t="s">
        <v>62</v>
      </c>
      <c r="F1624">
        <v>6533</v>
      </c>
      <c r="G1624" t="s">
        <v>145</v>
      </c>
    </row>
    <row r="1625" spans="1:7" hidden="1" x14ac:dyDescent="0.35">
      <c r="A1625" t="s">
        <v>2</v>
      </c>
      <c r="B1625" t="s">
        <v>65</v>
      </c>
      <c r="C1625" t="s">
        <v>57</v>
      </c>
      <c r="D1625">
        <v>2023</v>
      </c>
      <c r="E1625" t="s">
        <v>98</v>
      </c>
      <c r="F1625">
        <v>6191</v>
      </c>
      <c r="G1625" t="s">
        <v>145</v>
      </c>
    </row>
    <row r="1626" spans="1:7" hidden="1" x14ac:dyDescent="0.35">
      <c r="A1626" t="s">
        <v>2</v>
      </c>
      <c r="B1626" t="s">
        <v>65</v>
      </c>
      <c r="C1626" t="s">
        <v>57</v>
      </c>
      <c r="D1626">
        <v>2024</v>
      </c>
      <c r="E1626" t="s">
        <v>62</v>
      </c>
      <c r="F1626">
        <v>7100</v>
      </c>
      <c r="G1626" t="s">
        <v>145</v>
      </c>
    </row>
    <row r="1627" spans="1:7" hidden="1" x14ac:dyDescent="0.35">
      <c r="A1627" t="s">
        <v>2</v>
      </c>
      <c r="B1627" t="s">
        <v>65</v>
      </c>
      <c r="C1627" t="s">
        <v>57</v>
      </c>
      <c r="D1627">
        <v>2024</v>
      </c>
      <c r="E1627" t="s">
        <v>98</v>
      </c>
      <c r="F1627">
        <v>5967</v>
      </c>
      <c r="G1627" t="s">
        <v>145</v>
      </c>
    </row>
    <row r="1628" spans="1:7" hidden="1" x14ac:dyDescent="0.35">
      <c r="A1628" t="s">
        <v>2</v>
      </c>
      <c r="B1628" t="s">
        <v>65</v>
      </c>
      <c r="C1628" t="s">
        <v>57</v>
      </c>
      <c r="D1628">
        <v>2025</v>
      </c>
      <c r="E1628" t="s">
        <v>62</v>
      </c>
      <c r="F1628">
        <v>7882</v>
      </c>
      <c r="G1628" t="s">
        <v>145</v>
      </c>
    </row>
    <row r="1629" spans="1:7" hidden="1" x14ac:dyDescent="0.35">
      <c r="A1629" t="s">
        <v>2</v>
      </c>
      <c r="B1629" t="s">
        <v>65</v>
      </c>
      <c r="C1629" t="s">
        <v>57</v>
      </c>
      <c r="D1629">
        <v>2025</v>
      </c>
      <c r="E1629" t="s">
        <v>98</v>
      </c>
      <c r="F1629">
        <v>7344</v>
      </c>
      <c r="G1629" t="s">
        <v>145</v>
      </c>
    </row>
    <row r="1630" spans="1:7" hidden="1" x14ac:dyDescent="0.35">
      <c r="A1630" t="s">
        <v>3</v>
      </c>
      <c r="B1630" t="s">
        <v>66</v>
      </c>
      <c r="C1630" t="s">
        <v>57</v>
      </c>
      <c r="D1630">
        <v>2022</v>
      </c>
      <c r="E1630" t="s">
        <v>62</v>
      </c>
      <c r="F1630">
        <v>13100</v>
      </c>
      <c r="G1630" t="s">
        <v>145</v>
      </c>
    </row>
    <row r="1631" spans="1:7" hidden="1" x14ac:dyDescent="0.35">
      <c r="A1631" t="s">
        <v>3</v>
      </c>
      <c r="B1631" t="s">
        <v>66</v>
      </c>
      <c r="C1631" t="s">
        <v>57</v>
      </c>
      <c r="D1631">
        <v>2022</v>
      </c>
      <c r="E1631" t="s">
        <v>98</v>
      </c>
      <c r="F1631">
        <v>13213</v>
      </c>
      <c r="G1631" t="s">
        <v>145</v>
      </c>
    </row>
    <row r="1632" spans="1:7" hidden="1" x14ac:dyDescent="0.35">
      <c r="A1632" t="s">
        <v>3</v>
      </c>
      <c r="B1632" t="s">
        <v>66</v>
      </c>
      <c r="C1632" t="s">
        <v>57</v>
      </c>
      <c r="D1632">
        <v>2023</v>
      </c>
      <c r="E1632" t="s">
        <v>62</v>
      </c>
      <c r="F1632">
        <v>14604</v>
      </c>
      <c r="G1632" t="s">
        <v>145</v>
      </c>
    </row>
    <row r="1633" spans="1:7" hidden="1" x14ac:dyDescent="0.35">
      <c r="A1633" t="s">
        <v>3</v>
      </c>
      <c r="B1633" t="s">
        <v>66</v>
      </c>
      <c r="C1633" t="s">
        <v>57</v>
      </c>
      <c r="D1633">
        <v>2023</v>
      </c>
      <c r="E1633" t="s">
        <v>98</v>
      </c>
      <c r="F1633">
        <v>15339</v>
      </c>
      <c r="G1633" t="s">
        <v>145</v>
      </c>
    </row>
    <row r="1634" spans="1:7" hidden="1" x14ac:dyDescent="0.35">
      <c r="A1634" t="s">
        <v>3</v>
      </c>
      <c r="B1634" t="s">
        <v>66</v>
      </c>
      <c r="C1634" t="s">
        <v>57</v>
      </c>
      <c r="D1634">
        <v>2024</v>
      </c>
      <c r="E1634" t="s">
        <v>62</v>
      </c>
      <c r="F1634">
        <v>17023</v>
      </c>
      <c r="G1634" t="s">
        <v>145</v>
      </c>
    </row>
    <row r="1635" spans="1:7" hidden="1" x14ac:dyDescent="0.35">
      <c r="A1635" t="s">
        <v>3</v>
      </c>
      <c r="B1635" t="s">
        <v>66</v>
      </c>
      <c r="C1635" t="s">
        <v>57</v>
      </c>
      <c r="D1635">
        <v>2024</v>
      </c>
      <c r="E1635" t="s">
        <v>98</v>
      </c>
      <c r="F1635">
        <v>17484</v>
      </c>
      <c r="G1635" t="s">
        <v>145</v>
      </c>
    </row>
    <row r="1636" spans="1:7" hidden="1" x14ac:dyDescent="0.35">
      <c r="A1636" t="s">
        <v>3</v>
      </c>
      <c r="B1636" t="s">
        <v>66</v>
      </c>
      <c r="C1636" t="s">
        <v>57</v>
      </c>
      <c r="D1636">
        <v>2025</v>
      </c>
      <c r="E1636" t="s">
        <v>62</v>
      </c>
      <c r="F1636">
        <v>17696</v>
      </c>
      <c r="G1636" t="s">
        <v>145</v>
      </c>
    </row>
    <row r="1637" spans="1:7" hidden="1" x14ac:dyDescent="0.35">
      <c r="A1637" t="s">
        <v>3</v>
      </c>
      <c r="B1637" t="s">
        <v>66</v>
      </c>
      <c r="C1637" t="s">
        <v>57</v>
      </c>
      <c r="D1637">
        <v>2025</v>
      </c>
      <c r="E1637" t="s">
        <v>98</v>
      </c>
      <c r="F1637">
        <v>17225</v>
      </c>
      <c r="G1637" t="s">
        <v>145</v>
      </c>
    </row>
    <row r="1638" spans="1:7" hidden="1" x14ac:dyDescent="0.35">
      <c r="A1638" t="s">
        <v>4</v>
      </c>
      <c r="B1638" t="s">
        <v>67</v>
      </c>
      <c r="C1638" t="s">
        <v>57</v>
      </c>
      <c r="D1638">
        <v>2022</v>
      </c>
      <c r="E1638" t="s">
        <v>62</v>
      </c>
      <c r="F1638">
        <v>7700</v>
      </c>
      <c r="G1638" t="s">
        <v>145</v>
      </c>
    </row>
    <row r="1639" spans="1:7" hidden="1" x14ac:dyDescent="0.35">
      <c r="A1639" t="s">
        <v>4</v>
      </c>
      <c r="B1639" t="s">
        <v>67</v>
      </c>
      <c r="C1639" t="s">
        <v>57</v>
      </c>
      <c r="D1639">
        <v>2022</v>
      </c>
      <c r="E1639" t="s">
        <v>98</v>
      </c>
      <c r="F1639">
        <v>7926</v>
      </c>
      <c r="G1639" t="s">
        <v>145</v>
      </c>
    </row>
    <row r="1640" spans="1:7" hidden="1" x14ac:dyDescent="0.35">
      <c r="A1640" t="s">
        <v>4</v>
      </c>
      <c r="B1640" t="s">
        <v>67</v>
      </c>
      <c r="C1640" t="s">
        <v>57</v>
      </c>
      <c r="D1640">
        <v>2023</v>
      </c>
      <c r="E1640" t="s">
        <v>62</v>
      </c>
      <c r="F1640">
        <v>8405</v>
      </c>
      <c r="G1640" t="s">
        <v>145</v>
      </c>
    </row>
    <row r="1641" spans="1:7" hidden="1" x14ac:dyDescent="0.35">
      <c r="A1641" t="s">
        <v>4</v>
      </c>
      <c r="B1641" t="s">
        <v>67</v>
      </c>
      <c r="C1641" t="s">
        <v>57</v>
      </c>
      <c r="D1641">
        <v>2023</v>
      </c>
      <c r="E1641" t="s">
        <v>98</v>
      </c>
      <c r="F1641">
        <v>8537</v>
      </c>
      <c r="G1641" t="s">
        <v>145</v>
      </c>
    </row>
    <row r="1642" spans="1:7" hidden="1" x14ac:dyDescent="0.35">
      <c r="A1642" t="s">
        <v>4</v>
      </c>
      <c r="B1642" t="s">
        <v>67</v>
      </c>
      <c r="C1642" t="s">
        <v>57</v>
      </c>
      <c r="D1642">
        <v>2024</v>
      </c>
      <c r="E1642" t="s">
        <v>62</v>
      </c>
      <c r="F1642">
        <v>9620</v>
      </c>
      <c r="G1642" t="s">
        <v>145</v>
      </c>
    </row>
    <row r="1643" spans="1:7" hidden="1" x14ac:dyDescent="0.35">
      <c r="A1643" t="s">
        <v>4</v>
      </c>
      <c r="B1643" t="s">
        <v>67</v>
      </c>
      <c r="C1643" t="s">
        <v>57</v>
      </c>
      <c r="D1643">
        <v>2024</v>
      </c>
      <c r="E1643" t="s">
        <v>98</v>
      </c>
      <c r="F1643">
        <v>9002</v>
      </c>
      <c r="G1643" t="s">
        <v>145</v>
      </c>
    </row>
    <row r="1644" spans="1:7" hidden="1" x14ac:dyDescent="0.35">
      <c r="A1644" t="s">
        <v>4</v>
      </c>
      <c r="B1644" t="s">
        <v>67</v>
      </c>
      <c r="C1644" t="s">
        <v>57</v>
      </c>
      <c r="D1644">
        <v>2025</v>
      </c>
      <c r="E1644" t="s">
        <v>62</v>
      </c>
      <c r="F1644">
        <v>10487</v>
      </c>
      <c r="G1644" t="s">
        <v>145</v>
      </c>
    </row>
    <row r="1645" spans="1:7" hidden="1" x14ac:dyDescent="0.35">
      <c r="A1645" t="s">
        <v>4</v>
      </c>
      <c r="B1645" t="s">
        <v>67</v>
      </c>
      <c r="C1645" t="s">
        <v>57</v>
      </c>
      <c r="D1645">
        <v>2025</v>
      </c>
      <c r="E1645" t="s">
        <v>98</v>
      </c>
      <c r="F1645">
        <v>9861</v>
      </c>
      <c r="G1645" t="s">
        <v>145</v>
      </c>
    </row>
    <row r="1646" spans="1:7" hidden="1" x14ac:dyDescent="0.35">
      <c r="A1646" t="s">
        <v>5</v>
      </c>
      <c r="B1646" t="s">
        <v>5</v>
      </c>
      <c r="C1646" t="s">
        <v>57</v>
      </c>
      <c r="D1646">
        <v>2022</v>
      </c>
      <c r="E1646" t="s">
        <v>62</v>
      </c>
      <c r="F1646">
        <v>10461</v>
      </c>
      <c r="G1646" t="s">
        <v>145</v>
      </c>
    </row>
    <row r="1647" spans="1:7" hidden="1" x14ac:dyDescent="0.35">
      <c r="A1647" t="s">
        <v>5</v>
      </c>
      <c r="B1647" t="s">
        <v>5</v>
      </c>
      <c r="C1647" t="s">
        <v>57</v>
      </c>
      <c r="D1647">
        <v>2022</v>
      </c>
      <c r="E1647" t="s">
        <v>98</v>
      </c>
      <c r="F1647">
        <v>10148</v>
      </c>
      <c r="G1647" t="s">
        <v>145</v>
      </c>
    </row>
    <row r="1648" spans="1:7" hidden="1" x14ac:dyDescent="0.35">
      <c r="A1648" t="s">
        <v>5</v>
      </c>
      <c r="B1648" t="s">
        <v>5</v>
      </c>
      <c r="C1648" t="s">
        <v>57</v>
      </c>
      <c r="D1648">
        <v>2023</v>
      </c>
      <c r="E1648" t="s">
        <v>62</v>
      </c>
      <c r="F1648">
        <v>11742</v>
      </c>
      <c r="G1648" t="s">
        <v>145</v>
      </c>
    </row>
    <row r="1649" spans="1:7" hidden="1" x14ac:dyDescent="0.35">
      <c r="A1649" t="s">
        <v>5</v>
      </c>
      <c r="B1649" t="s">
        <v>5</v>
      </c>
      <c r="C1649" t="s">
        <v>57</v>
      </c>
      <c r="D1649">
        <v>2023</v>
      </c>
      <c r="E1649" t="s">
        <v>98</v>
      </c>
      <c r="F1649">
        <v>11053</v>
      </c>
      <c r="G1649" t="s">
        <v>145</v>
      </c>
    </row>
    <row r="1650" spans="1:7" hidden="1" x14ac:dyDescent="0.35">
      <c r="A1650" t="s">
        <v>5</v>
      </c>
      <c r="B1650" t="s">
        <v>5</v>
      </c>
      <c r="C1650" t="s">
        <v>57</v>
      </c>
      <c r="D1650">
        <v>2024</v>
      </c>
      <c r="E1650" t="s">
        <v>62</v>
      </c>
      <c r="F1650">
        <v>12838</v>
      </c>
      <c r="G1650" t="s">
        <v>145</v>
      </c>
    </row>
    <row r="1651" spans="1:7" hidden="1" x14ac:dyDescent="0.35">
      <c r="A1651" t="s">
        <v>5</v>
      </c>
      <c r="B1651" t="s">
        <v>5</v>
      </c>
      <c r="C1651" t="s">
        <v>57</v>
      </c>
      <c r="D1651">
        <v>2024</v>
      </c>
      <c r="E1651" t="s">
        <v>98</v>
      </c>
      <c r="F1651">
        <v>12763</v>
      </c>
      <c r="G1651" t="s">
        <v>145</v>
      </c>
    </row>
    <row r="1652" spans="1:7" hidden="1" x14ac:dyDescent="0.35">
      <c r="A1652" t="s">
        <v>5</v>
      </c>
      <c r="B1652" t="s">
        <v>5</v>
      </c>
      <c r="C1652" t="s">
        <v>57</v>
      </c>
      <c r="D1652">
        <v>2025</v>
      </c>
      <c r="E1652" t="s">
        <v>62</v>
      </c>
      <c r="F1652">
        <v>13912</v>
      </c>
      <c r="G1652" t="s">
        <v>145</v>
      </c>
    </row>
    <row r="1653" spans="1:7" hidden="1" x14ac:dyDescent="0.35">
      <c r="A1653" t="s">
        <v>5</v>
      </c>
      <c r="B1653" t="s">
        <v>5</v>
      </c>
      <c r="C1653" t="s">
        <v>57</v>
      </c>
      <c r="D1653">
        <v>2025</v>
      </c>
      <c r="E1653" t="s">
        <v>98</v>
      </c>
      <c r="F1653">
        <v>13088</v>
      </c>
      <c r="G1653" t="s">
        <v>145</v>
      </c>
    </row>
    <row r="1654" spans="1:7" hidden="1" x14ac:dyDescent="0.35">
      <c r="A1654" t="s">
        <v>6</v>
      </c>
      <c r="B1654" t="s">
        <v>68</v>
      </c>
      <c r="C1654" t="s">
        <v>57</v>
      </c>
      <c r="D1654">
        <v>2022</v>
      </c>
      <c r="E1654" t="s">
        <v>62</v>
      </c>
      <c r="F1654">
        <v>1520</v>
      </c>
      <c r="G1654" t="s">
        <v>145</v>
      </c>
    </row>
    <row r="1655" spans="1:7" hidden="1" x14ac:dyDescent="0.35">
      <c r="A1655" t="s">
        <v>6</v>
      </c>
      <c r="B1655" t="s">
        <v>68</v>
      </c>
      <c r="C1655" t="s">
        <v>57</v>
      </c>
      <c r="D1655">
        <v>2022</v>
      </c>
      <c r="E1655" t="s">
        <v>98</v>
      </c>
      <c r="F1655">
        <v>1535</v>
      </c>
      <c r="G1655" t="s">
        <v>145</v>
      </c>
    </row>
    <row r="1656" spans="1:7" hidden="1" x14ac:dyDescent="0.35">
      <c r="A1656" t="s">
        <v>6</v>
      </c>
      <c r="B1656" t="s">
        <v>68</v>
      </c>
      <c r="C1656" t="s">
        <v>57</v>
      </c>
      <c r="D1656">
        <v>2023</v>
      </c>
      <c r="E1656" t="s">
        <v>62</v>
      </c>
      <c r="F1656">
        <v>1694</v>
      </c>
      <c r="G1656" t="s">
        <v>145</v>
      </c>
    </row>
    <row r="1657" spans="1:7" hidden="1" x14ac:dyDescent="0.35">
      <c r="A1657" t="s">
        <v>6</v>
      </c>
      <c r="B1657" t="s">
        <v>68</v>
      </c>
      <c r="C1657" t="s">
        <v>57</v>
      </c>
      <c r="D1657">
        <v>2023</v>
      </c>
      <c r="E1657" t="s">
        <v>98</v>
      </c>
      <c r="F1657">
        <v>1746</v>
      </c>
      <c r="G1657" t="s">
        <v>145</v>
      </c>
    </row>
    <row r="1658" spans="1:7" hidden="1" x14ac:dyDescent="0.35">
      <c r="A1658" t="s">
        <v>6</v>
      </c>
      <c r="B1658" t="s">
        <v>68</v>
      </c>
      <c r="C1658" t="s">
        <v>57</v>
      </c>
      <c r="D1658">
        <v>2024</v>
      </c>
      <c r="E1658" t="s">
        <v>62</v>
      </c>
      <c r="F1658">
        <v>1890</v>
      </c>
      <c r="G1658" t="s">
        <v>145</v>
      </c>
    </row>
    <row r="1659" spans="1:7" hidden="1" x14ac:dyDescent="0.35">
      <c r="A1659" t="s">
        <v>6</v>
      </c>
      <c r="B1659" t="s">
        <v>68</v>
      </c>
      <c r="C1659" t="s">
        <v>57</v>
      </c>
      <c r="D1659">
        <v>2024</v>
      </c>
      <c r="E1659" t="s">
        <v>98</v>
      </c>
      <c r="F1659">
        <v>1900</v>
      </c>
      <c r="G1659" t="s">
        <v>145</v>
      </c>
    </row>
    <row r="1660" spans="1:7" hidden="1" x14ac:dyDescent="0.35">
      <c r="A1660" t="s">
        <v>6</v>
      </c>
      <c r="B1660" t="s">
        <v>68</v>
      </c>
      <c r="C1660" t="s">
        <v>57</v>
      </c>
      <c r="D1660">
        <v>2025</v>
      </c>
      <c r="E1660" t="s">
        <v>62</v>
      </c>
      <c r="F1660">
        <v>1990</v>
      </c>
      <c r="G1660" t="s">
        <v>145</v>
      </c>
    </row>
    <row r="1661" spans="1:7" hidden="1" x14ac:dyDescent="0.35">
      <c r="A1661" t="s">
        <v>6</v>
      </c>
      <c r="B1661" t="s">
        <v>68</v>
      </c>
      <c r="C1661" t="s">
        <v>57</v>
      </c>
      <c r="D1661">
        <v>2025</v>
      </c>
      <c r="E1661" t="s">
        <v>98</v>
      </c>
      <c r="F1661">
        <v>1950</v>
      </c>
      <c r="G1661" t="s">
        <v>145</v>
      </c>
    </row>
    <row r="1662" spans="1:7" hidden="1" x14ac:dyDescent="0.35">
      <c r="A1662" t="s">
        <v>7</v>
      </c>
      <c r="B1662" t="s">
        <v>7</v>
      </c>
      <c r="C1662" t="s">
        <v>57</v>
      </c>
      <c r="D1662">
        <v>2022</v>
      </c>
      <c r="E1662" t="s">
        <v>62</v>
      </c>
      <c r="F1662">
        <v>1285</v>
      </c>
      <c r="G1662" t="s">
        <v>145</v>
      </c>
    </row>
    <row r="1663" spans="1:7" hidden="1" x14ac:dyDescent="0.35">
      <c r="A1663" t="s">
        <v>7</v>
      </c>
      <c r="B1663" t="s">
        <v>7</v>
      </c>
      <c r="C1663" t="s">
        <v>57</v>
      </c>
      <c r="D1663">
        <v>2022</v>
      </c>
      <c r="E1663" t="s">
        <v>98</v>
      </c>
      <c r="F1663">
        <v>1284</v>
      </c>
      <c r="G1663" t="s">
        <v>145</v>
      </c>
    </row>
    <row r="1664" spans="1:7" hidden="1" x14ac:dyDescent="0.35">
      <c r="A1664" t="s">
        <v>7</v>
      </c>
      <c r="B1664" t="s">
        <v>7</v>
      </c>
      <c r="C1664" t="s">
        <v>57</v>
      </c>
      <c r="D1664">
        <v>2023</v>
      </c>
      <c r="E1664" t="s">
        <v>62</v>
      </c>
      <c r="F1664">
        <v>1426</v>
      </c>
      <c r="G1664" t="s">
        <v>145</v>
      </c>
    </row>
    <row r="1665" spans="1:7" hidden="1" x14ac:dyDescent="0.35">
      <c r="A1665" t="s">
        <v>7</v>
      </c>
      <c r="B1665" t="s">
        <v>7</v>
      </c>
      <c r="C1665" t="s">
        <v>57</v>
      </c>
      <c r="D1665">
        <v>2023</v>
      </c>
      <c r="E1665" t="s">
        <v>98</v>
      </c>
      <c r="F1665">
        <v>1474</v>
      </c>
      <c r="G1665" t="s">
        <v>145</v>
      </c>
    </row>
    <row r="1666" spans="1:7" hidden="1" x14ac:dyDescent="0.35">
      <c r="A1666" t="s">
        <v>7</v>
      </c>
      <c r="B1666" t="s">
        <v>7</v>
      </c>
      <c r="C1666" t="s">
        <v>57</v>
      </c>
      <c r="D1666">
        <v>2024</v>
      </c>
      <c r="E1666" t="s">
        <v>62</v>
      </c>
      <c r="F1666">
        <v>1606</v>
      </c>
      <c r="G1666" t="s">
        <v>145</v>
      </c>
    </row>
    <row r="1667" spans="1:7" hidden="1" x14ac:dyDescent="0.35">
      <c r="A1667" t="s">
        <v>7</v>
      </c>
      <c r="B1667" t="s">
        <v>7</v>
      </c>
      <c r="C1667" t="s">
        <v>57</v>
      </c>
      <c r="D1667">
        <v>2024</v>
      </c>
      <c r="E1667" t="s">
        <v>98</v>
      </c>
      <c r="F1667">
        <v>1694</v>
      </c>
      <c r="G1667" t="s">
        <v>145</v>
      </c>
    </row>
    <row r="1668" spans="1:7" hidden="1" x14ac:dyDescent="0.35">
      <c r="A1668" t="s">
        <v>7</v>
      </c>
      <c r="B1668" t="s">
        <v>7</v>
      </c>
      <c r="C1668" t="s">
        <v>57</v>
      </c>
      <c r="D1668">
        <v>2025</v>
      </c>
      <c r="E1668" t="s">
        <v>62</v>
      </c>
      <c r="F1668">
        <v>1775</v>
      </c>
      <c r="G1668" t="s">
        <v>145</v>
      </c>
    </row>
    <row r="1669" spans="1:7" hidden="1" x14ac:dyDescent="0.35">
      <c r="A1669" t="s">
        <v>7</v>
      </c>
      <c r="B1669" t="s">
        <v>7</v>
      </c>
      <c r="C1669" t="s">
        <v>57</v>
      </c>
      <c r="D1669">
        <v>2025</v>
      </c>
      <c r="E1669" t="s">
        <v>98</v>
      </c>
      <c r="F1669">
        <v>1693</v>
      </c>
      <c r="G1669" t="s">
        <v>145</v>
      </c>
    </row>
    <row r="1670" spans="1:7" hidden="1" x14ac:dyDescent="0.35">
      <c r="A1670" t="s">
        <v>8</v>
      </c>
      <c r="B1670" t="s">
        <v>69</v>
      </c>
      <c r="C1670" t="s">
        <v>57</v>
      </c>
      <c r="D1670">
        <v>2022</v>
      </c>
      <c r="E1670" t="s">
        <v>62</v>
      </c>
      <c r="F1670">
        <v>229</v>
      </c>
      <c r="G1670" t="s">
        <v>145</v>
      </c>
    </row>
    <row r="1671" spans="1:7" hidden="1" x14ac:dyDescent="0.35">
      <c r="A1671" t="s">
        <v>8</v>
      </c>
      <c r="B1671" t="s">
        <v>69</v>
      </c>
      <c r="C1671" t="s">
        <v>57</v>
      </c>
      <c r="D1671">
        <v>2022</v>
      </c>
      <c r="E1671" t="s">
        <v>98</v>
      </c>
      <c r="F1671">
        <v>271</v>
      </c>
      <c r="G1671" t="s">
        <v>145</v>
      </c>
    </row>
    <row r="1672" spans="1:7" hidden="1" x14ac:dyDescent="0.35">
      <c r="A1672" t="s">
        <v>8</v>
      </c>
      <c r="B1672" t="s">
        <v>69</v>
      </c>
      <c r="C1672" t="s">
        <v>57</v>
      </c>
      <c r="D1672">
        <v>2023</v>
      </c>
      <c r="E1672" t="s">
        <v>62</v>
      </c>
      <c r="F1672">
        <v>309</v>
      </c>
      <c r="G1672" t="s">
        <v>145</v>
      </c>
    </row>
    <row r="1673" spans="1:7" hidden="1" x14ac:dyDescent="0.35">
      <c r="A1673" t="s">
        <v>8</v>
      </c>
      <c r="B1673" t="s">
        <v>69</v>
      </c>
      <c r="C1673" t="s">
        <v>57</v>
      </c>
      <c r="D1673">
        <v>2023</v>
      </c>
      <c r="E1673" t="s">
        <v>98</v>
      </c>
      <c r="F1673">
        <v>348</v>
      </c>
      <c r="G1673" t="s">
        <v>145</v>
      </c>
    </row>
    <row r="1674" spans="1:7" hidden="1" x14ac:dyDescent="0.35">
      <c r="A1674" t="s">
        <v>8</v>
      </c>
      <c r="B1674" t="s">
        <v>69</v>
      </c>
      <c r="C1674" t="s">
        <v>57</v>
      </c>
      <c r="D1674">
        <v>2024</v>
      </c>
      <c r="E1674" t="s">
        <v>62</v>
      </c>
      <c r="F1674">
        <v>424</v>
      </c>
      <c r="G1674" t="s">
        <v>145</v>
      </c>
    </row>
    <row r="1675" spans="1:7" hidden="1" x14ac:dyDescent="0.35">
      <c r="A1675" t="s">
        <v>8</v>
      </c>
      <c r="B1675" t="s">
        <v>69</v>
      </c>
      <c r="C1675" t="s">
        <v>57</v>
      </c>
      <c r="D1675">
        <v>2024</v>
      </c>
      <c r="E1675" t="s">
        <v>98</v>
      </c>
      <c r="F1675">
        <v>517</v>
      </c>
      <c r="G1675" t="s">
        <v>145</v>
      </c>
    </row>
    <row r="1676" spans="1:7" hidden="1" x14ac:dyDescent="0.35">
      <c r="A1676" t="s">
        <v>8</v>
      </c>
      <c r="B1676" t="s">
        <v>69</v>
      </c>
      <c r="C1676" t="s">
        <v>57</v>
      </c>
      <c r="D1676">
        <v>2025</v>
      </c>
      <c r="E1676" t="s">
        <v>62</v>
      </c>
      <c r="F1676">
        <v>600</v>
      </c>
      <c r="G1676" t="s">
        <v>145</v>
      </c>
    </row>
    <row r="1677" spans="1:7" hidden="1" x14ac:dyDescent="0.35">
      <c r="A1677" t="s">
        <v>8</v>
      </c>
      <c r="B1677" t="s">
        <v>69</v>
      </c>
      <c r="C1677" t="s">
        <v>57</v>
      </c>
      <c r="D1677">
        <v>2025</v>
      </c>
      <c r="E1677" t="s">
        <v>98</v>
      </c>
      <c r="F1677">
        <v>647</v>
      </c>
      <c r="G1677" t="s">
        <v>145</v>
      </c>
    </row>
    <row r="1678" spans="1:7" hidden="1" x14ac:dyDescent="0.35">
      <c r="A1678" t="s">
        <v>9</v>
      </c>
      <c r="B1678" t="s">
        <v>70</v>
      </c>
      <c r="C1678" t="s">
        <v>57</v>
      </c>
      <c r="D1678">
        <v>2022</v>
      </c>
      <c r="E1678" t="s">
        <v>62</v>
      </c>
      <c r="F1678">
        <v>1624</v>
      </c>
      <c r="G1678" t="s">
        <v>145</v>
      </c>
    </row>
    <row r="1679" spans="1:7" hidden="1" x14ac:dyDescent="0.35">
      <c r="A1679" t="s">
        <v>9</v>
      </c>
      <c r="B1679" t="s">
        <v>70</v>
      </c>
      <c r="C1679" t="s">
        <v>57</v>
      </c>
      <c r="D1679">
        <v>2022</v>
      </c>
      <c r="E1679" t="s">
        <v>98</v>
      </c>
      <c r="F1679">
        <v>1894</v>
      </c>
      <c r="G1679" t="s">
        <v>145</v>
      </c>
    </row>
    <row r="1680" spans="1:7" hidden="1" x14ac:dyDescent="0.35">
      <c r="A1680" t="s">
        <v>9</v>
      </c>
      <c r="B1680" t="s">
        <v>70</v>
      </c>
      <c r="C1680" t="s">
        <v>57</v>
      </c>
      <c r="D1680">
        <v>2023</v>
      </c>
      <c r="E1680" t="s">
        <v>62</v>
      </c>
      <c r="F1680">
        <v>2219</v>
      </c>
      <c r="G1680" t="s">
        <v>145</v>
      </c>
    </row>
    <row r="1681" spans="1:7" hidden="1" x14ac:dyDescent="0.35">
      <c r="A1681" t="s">
        <v>9</v>
      </c>
      <c r="B1681" t="s">
        <v>70</v>
      </c>
      <c r="C1681" t="s">
        <v>57</v>
      </c>
      <c r="D1681">
        <v>2023</v>
      </c>
      <c r="E1681" t="s">
        <v>98</v>
      </c>
      <c r="F1681">
        <v>2249</v>
      </c>
      <c r="G1681" t="s">
        <v>145</v>
      </c>
    </row>
    <row r="1682" spans="1:7" hidden="1" x14ac:dyDescent="0.35">
      <c r="A1682" t="s">
        <v>9</v>
      </c>
      <c r="B1682" t="s">
        <v>70</v>
      </c>
      <c r="C1682" t="s">
        <v>57</v>
      </c>
      <c r="D1682">
        <v>2024</v>
      </c>
      <c r="E1682" t="s">
        <v>62</v>
      </c>
      <c r="F1682">
        <v>2333</v>
      </c>
      <c r="G1682" t="s">
        <v>145</v>
      </c>
    </row>
    <row r="1683" spans="1:7" hidden="1" x14ac:dyDescent="0.35">
      <c r="A1683" t="s">
        <v>9</v>
      </c>
      <c r="B1683" t="s">
        <v>70</v>
      </c>
      <c r="C1683" t="s">
        <v>57</v>
      </c>
      <c r="D1683">
        <v>2024</v>
      </c>
      <c r="E1683" t="s">
        <v>98</v>
      </c>
      <c r="F1683">
        <v>2406</v>
      </c>
      <c r="G1683" t="s">
        <v>145</v>
      </c>
    </row>
    <row r="1684" spans="1:7" hidden="1" x14ac:dyDescent="0.35">
      <c r="A1684" t="s">
        <v>9</v>
      </c>
      <c r="B1684" t="s">
        <v>70</v>
      </c>
      <c r="C1684" t="s">
        <v>57</v>
      </c>
      <c r="D1684">
        <v>2025</v>
      </c>
      <c r="E1684" t="s">
        <v>62</v>
      </c>
      <c r="F1684">
        <v>2748</v>
      </c>
      <c r="G1684" t="s">
        <v>145</v>
      </c>
    </row>
    <row r="1685" spans="1:7" hidden="1" x14ac:dyDescent="0.35">
      <c r="A1685" t="s">
        <v>9</v>
      </c>
      <c r="B1685" t="s">
        <v>70</v>
      </c>
      <c r="C1685" t="s">
        <v>57</v>
      </c>
      <c r="D1685">
        <v>2025</v>
      </c>
      <c r="E1685" t="s">
        <v>98</v>
      </c>
      <c r="F1685">
        <v>1693</v>
      </c>
      <c r="G1685" t="s">
        <v>145</v>
      </c>
    </row>
    <row r="1686" spans="1:7" hidden="1" x14ac:dyDescent="0.35">
      <c r="A1686" t="s">
        <v>10</v>
      </c>
      <c r="B1686" t="s">
        <v>71</v>
      </c>
      <c r="C1686" t="s">
        <v>57</v>
      </c>
      <c r="D1686">
        <v>2022</v>
      </c>
      <c r="E1686" t="s">
        <v>62</v>
      </c>
      <c r="F1686">
        <v>307</v>
      </c>
      <c r="G1686" t="s">
        <v>145</v>
      </c>
    </row>
    <row r="1687" spans="1:7" hidden="1" x14ac:dyDescent="0.35">
      <c r="A1687" t="s">
        <v>10</v>
      </c>
      <c r="B1687" t="s">
        <v>71</v>
      </c>
      <c r="C1687" t="s">
        <v>57</v>
      </c>
      <c r="D1687">
        <v>2022</v>
      </c>
      <c r="E1687" t="s">
        <v>98</v>
      </c>
      <c r="F1687">
        <v>274</v>
      </c>
      <c r="G1687" t="s">
        <v>145</v>
      </c>
    </row>
    <row r="1688" spans="1:7" hidden="1" x14ac:dyDescent="0.35">
      <c r="A1688" t="s">
        <v>10</v>
      </c>
      <c r="B1688" t="s">
        <v>71</v>
      </c>
      <c r="C1688" t="s">
        <v>57</v>
      </c>
      <c r="D1688">
        <v>2023</v>
      </c>
      <c r="E1688" t="s">
        <v>62</v>
      </c>
      <c r="F1688">
        <v>293</v>
      </c>
      <c r="G1688" t="s">
        <v>145</v>
      </c>
    </row>
    <row r="1689" spans="1:7" hidden="1" x14ac:dyDescent="0.35">
      <c r="A1689" t="s">
        <v>10</v>
      </c>
      <c r="B1689" t="s">
        <v>71</v>
      </c>
      <c r="C1689" t="s">
        <v>57</v>
      </c>
      <c r="D1689">
        <v>2023</v>
      </c>
      <c r="E1689" t="s">
        <v>98</v>
      </c>
      <c r="F1689">
        <v>254</v>
      </c>
      <c r="G1689" t="s">
        <v>145</v>
      </c>
    </row>
    <row r="1690" spans="1:7" hidden="1" x14ac:dyDescent="0.35">
      <c r="A1690" t="s">
        <v>10</v>
      </c>
      <c r="B1690" t="s">
        <v>71</v>
      </c>
      <c r="C1690" t="s">
        <v>57</v>
      </c>
      <c r="D1690">
        <v>2024</v>
      </c>
      <c r="E1690" t="s">
        <v>62</v>
      </c>
      <c r="F1690">
        <v>282</v>
      </c>
      <c r="G1690" t="s">
        <v>145</v>
      </c>
    </row>
    <row r="1691" spans="1:7" hidden="1" x14ac:dyDescent="0.35">
      <c r="A1691" t="s">
        <v>10</v>
      </c>
      <c r="B1691" t="s">
        <v>71</v>
      </c>
      <c r="C1691" t="s">
        <v>57</v>
      </c>
      <c r="D1691">
        <v>2024</v>
      </c>
      <c r="E1691" t="s">
        <v>98</v>
      </c>
      <c r="F1691">
        <v>261</v>
      </c>
      <c r="G1691" t="s">
        <v>145</v>
      </c>
    </row>
    <row r="1692" spans="1:7" hidden="1" x14ac:dyDescent="0.35">
      <c r="A1692" t="s">
        <v>10</v>
      </c>
      <c r="B1692" t="s">
        <v>71</v>
      </c>
      <c r="C1692" t="s">
        <v>57</v>
      </c>
      <c r="D1692">
        <v>2025</v>
      </c>
      <c r="E1692" t="s">
        <v>62</v>
      </c>
      <c r="F1692">
        <v>306</v>
      </c>
      <c r="G1692" t="s">
        <v>145</v>
      </c>
    </row>
    <row r="1693" spans="1:7" hidden="1" x14ac:dyDescent="0.35">
      <c r="A1693" t="s">
        <v>10</v>
      </c>
      <c r="B1693" t="s">
        <v>71</v>
      </c>
      <c r="C1693" t="s">
        <v>57</v>
      </c>
      <c r="D1693">
        <v>2025</v>
      </c>
      <c r="E1693" t="s">
        <v>98</v>
      </c>
      <c r="F1693">
        <v>2675</v>
      </c>
      <c r="G1693" t="s">
        <v>145</v>
      </c>
    </row>
    <row r="1694" spans="1:7" hidden="1" x14ac:dyDescent="0.35">
      <c r="A1694" t="s">
        <v>11</v>
      </c>
      <c r="B1694" t="s">
        <v>72</v>
      </c>
      <c r="C1694" t="s">
        <v>57</v>
      </c>
      <c r="D1694">
        <v>2022</v>
      </c>
      <c r="E1694" t="s">
        <v>62</v>
      </c>
      <c r="F1694">
        <v>195</v>
      </c>
      <c r="G1694" t="s">
        <v>145</v>
      </c>
    </row>
    <row r="1695" spans="1:7" hidden="1" x14ac:dyDescent="0.35">
      <c r="A1695" t="s">
        <v>11</v>
      </c>
      <c r="B1695" t="s">
        <v>72</v>
      </c>
      <c r="C1695" t="s">
        <v>57</v>
      </c>
      <c r="D1695">
        <v>2022</v>
      </c>
      <c r="E1695" t="s">
        <v>98</v>
      </c>
      <c r="F1695">
        <v>204</v>
      </c>
      <c r="G1695" t="s">
        <v>145</v>
      </c>
    </row>
    <row r="1696" spans="1:7" hidden="1" x14ac:dyDescent="0.35">
      <c r="A1696" t="s">
        <v>11</v>
      </c>
      <c r="B1696" t="s">
        <v>72</v>
      </c>
      <c r="C1696" t="s">
        <v>57</v>
      </c>
      <c r="D1696">
        <v>2023</v>
      </c>
      <c r="E1696" t="s">
        <v>62</v>
      </c>
      <c r="F1696">
        <v>192</v>
      </c>
      <c r="G1696" t="s">
        <v>145</v>
      </c>
    </row>
    <row r="1697" spans="1:7" hidden="1" x14ac:dyDescent="0.35">
      <c r="A1697" t="s">
        <v>11</v>
      </c>
      <c r="B1697" t="s">
        <v>72</v>
      </c>
      <c r="C1697" t="s">
        <v>57</v>
      </c>
      <c r="D1697">
        <v>2023</v>
      </c>
      <c r="E1697" t="s">
        <v>98</v>
      </c>
      <c r="F1697">
        <v>204</v>
      </c>
      <c r="G1697" t="s">
        <v>145</v>
      </c>
    </row>
    <row r="1698" spans="1:7" hidden="1" x14ac:dyDescent="0.35">
      <c r="A1698" t="s">
        <v>11</v>
      </c>
      <c r="B1698" t="s">
        <v>72</v>
      </c>
      <c r="C1698" t="s">
        <v>57</v>
      </c>
      <c r="D1698">
        <v>2024</v>
      </c>
      <c r="E1698" t="s">
        <v>62</v>
      </c>
      <c r="F1698">
        <v>186</v>
      </c>
      <c r="G1698" t="s">
        <v>145</v>
      </c>
    </row>
    <row r="1699" spans="1:7" hidden="1" x14ac:dyDescent="0.35">
      <c r="A1699" t="s">
        <v>11</v>
      </c>
      <c r="B1699" t="s">
        <v>72</v>
      </c>
      <c r="C1699" t="s">
        <v>57</v>
      </c>
      <c r="D1699">
        <v>2024</v>
      </c>
      <c r="E1699" t="s">
        <v>98</v>
      </c>
      <c r="F1699">
        <v>193</v>
      </c>
      <c r="G1699" t="s">
        <v>145</v>
      </c>
    </row>
    <row r="1700" spans="1:7" hidden="1" x14ac:dyDescent="0.35">
      <c r="A1700" t="s">
        <v>11</v>
      </c>
      <c r="B1700" t="s">
        <v>72</v>
      </c>
      <c r="C1700" t="s">
        <v>57</v>
      </c>
      <c r="D1700">
        <v>2025</v>
      </c>
      <c r="E1700" t="s">
        <v>62</v>
      </c>
      <c r="F1700">
        <v>191</v>
      </c>
      <c r="G1700" t="s">
        <v>145</v>
      </c>
    </row>
    <row r="1701" spans="1:7" hidden="1" x14ac:dyDescent="0.35">
      <c r="A1701" t="s">
        <v>11</v>
      </c>
      <c r="B1701" t="s">
        <v>72</v>
      </c>
      <c r="C1701" t="s">
        <v>57</v>
      </c>
      <c r="D1701">
        <v>2025</v>
      </c>
      <c r="E1701" t="s">
        <v>98</v>
      </c>
      <c r="F1701">
        <v>0</v>
      </c>
      <c r="G1701" t="s">
        <v>145</v>
      </c>
    </row>
    <row r="1702" spans="1:7" hidden="1" x14ac:dyDescent="0.35">
      <c r="A1702" t="s">
        <v>99</v>
      </c>
      <c r="B1702" t="s">
        <v>102</v>
      </c>
      <c r="C1702" t="s">
        <v>57</v>
      </c>
      <c r="D1702">
        <v>2025</v>
      </c>
      <c r="E1702" t="s">
        <v>62</v>
      </c>
      <c r="F1702">
        <v>212</v>
      </c>
      <c r="G1702" t="s">
        <v>145</v>
      </c>
    </row>
    <row r="1703" spans="1:7" hidden="1" x14ac:dyDescent="0.35">
      <c r="A1703" t="s">
        <v>12</v>
      </c>
      <c r="B1703" t="s">
        <v>73</v>
      </c>
      <c r="C1703" t="s">
        <v>57</v>
      </c>
      <c r="D1703">
        <v>2022</v>
      </c>
      <c r="E1703" t="s">
        <v>62</v>
      </c>
      <c r="F1703">
        <v>5076</v>
      </c>
      <c r="G1703" t="s">
        <v>145</v>
      </c>
    </row>
    <row r="1704" spans="1:7" hidden="1" x14ac:dyDescent="0.35">
      <c r="A1704" t="s">
        <v>12</v>
      </c>
      <c r="B1704" t="s">
        <v>73</v>
      </c>
      <c r="C1704" t="s">
        <v>57</v>
      </c>
      <c r="D1704">
        <v>2022</v>
      </c>
      <c r="E1704" t="s">
        <v>98</v>
      </c>
      <c r="F1704">
        <v>5357</v>
      </c>
      <c r="G1704" t="s">
        <v>145</v>
      </c>
    </row>
    <row r="1705" spans="1:7" hidden="1" x14ac:dyDescent="0.35">
      <c r="A1705" t="s">
        <v>12</v>
      </c>
      <c r="B1705" t="s">
        <v>73</v>
      </c>
      <c r="C1705" t="s">
        <v>57</v>
      </c>
      <c r="D1705">
        <v>2023</v>
      </c>
      <c r="E1705" t="s">
        <v>62</v>
      </c>
      <c r="F1705">
        <v>4958</v>
      </c>
      <c r="G1705" t="s">
        <v>145</v>
      </c>
    </row>
    <row r="1706" spans="1:7" hidden="1" x14ac:dyDescent="0.35">
      <c r="A1706" t="s">
        <v>12</v>
      </c>
      <c r="B1706" t="s">
        <v>73</v>
      </c>
      <c r="C1706" t="s">
        <v>57</v>
      </c>
      <c r="D1706">
        <v>2023</v>
      </c>
      <c r="E1706" t="s">
        <v>98</v>
      </c>
      <c r="F1706">
        <v>5275</v>
      </c>
      <c r="G1706" t="s">
        <v>145</v>
      </c>
    </row>
    <row r="1707" spans="1:7" hidden="1" x14ac:dyDescent="0.35">
      <c r="A1707" t="s">
        <v>12</v>
      </c>
      <c r="B1707" t="s">
        <v>73</v>
      </c>
      <c r="C1707" t="s">
        <v>57</v>
      </c>
      <c r="D1707">
        <v>2024</v>
      </c>
      <c r="E1707" t="s">
        <v>62</v>
      </c>
      <c r="F1707">
        <v>4983</v>
      </c>
      <c r="G1707" t="s">
        <v>145</v>
      </c>
    </row>
    <row r="1708" spans="1:7" hidden="1" x14ac:dyDescent="0.35">
      <c r="A1708" t="s">
        <v>12</v>
      </c>
      <c r="B1708" t="s">
        <v>73</v>
      </c>
      <c r="C1708" t="s">
        <v>57</v>
      </c>
      <c r="D1708">
        <v>2024</v>
      </c>
      <c r="E1708" t="s">
        <v>98</v>
      </c>
      <c r="F1708">
        <v>5255</v>
      </c>
      <c r="G1708" t="s">
        <v>145</v>
      </c>
    </row>
    <row r="1709" spans="1:7" hidden="1" x14ac:dyDescent="0.35">
      <c r="A1709" t="s">
        <v>12</v>
      </c>
      <c r="B1709" t="s">
        <v>73</v>
      </c>
      <c r="C1709" t="s">
        <v>57</v>
      </c>
      <c r="D1709">
        <v>2025</v>
      </c>
      <c r="E1709" t="s">
        <v>62</v>
      </c>
      <c r="F1709">
        <v>5362</v>
      </c>
      <c r="G1709" t="s">
        <v>145</v>
      </c>
    </row>
    <row r="1710" spans="1:7" hidden="1" x14ac:dyDescent="0.35">
      <c r="A1710" t="s">
        <v>12</v>
      </c>
      <c r="B1710" t="s">
        <v>73</v>
      </c>
      <c r="C1710" t="s">
        <v>57</v>
      </c>
      <c r="D1710">
        <v>2025</v>
      </c>
      <c r="E1710" t="s">
        <v>98</v>
      </c>
      <c r="F1710">
        <v>222</v>
      </c>
      <c r="G1710" t="s">
        <v>145</v>
      </c>
    </row>
    <row r="1711" spans="1:7" hidden="1" x14ac:dyDescent="0.35">
      <c r="A1711" t="s">
        <v>12</v>
      </c>
      <c r="B1711" t="s">
        <v>73</v>
      </c>
      <c r="C1711" t="s">
        <v>58</v>
      </c>
      <c r="D1711">
        <v>2022</v>
      </c>
      <c r="E1711" t="s">
        <v>62</v>
      </c>
      <c r="F1711">
        <v>165</v>
      </c>
      <c r="G1711" t="s">
        <v>145</v>
      </c>
    </row>
    <row r="1712" spans="1:7" hidden="1" x14ac:dyDescent="0.35">
      <c r="A1712" t="s">
        <v>12</v>
      </c>
      <c r="B1712" t="s">
        <v>73</v>
      </c>
      <c r="C1712" t="s">
        <v>58</v>
      </c>
      <c r="D1712">
        <v>2022</v>
      </c>
      <c r="E1712" t="s">
        <v>98</v>
      </c>
      <c r="F1712">
        <v>118</v>
      </c>
      <c r="G1712" t="s">
        <v>145</v>
      </c>
    </row>
    <row r="1713" spans="1:7" hidden="1" x14ac:dyDescent="0.35">
      <c r="A1713" t="s">
        <v>12</v>
      </c>
      <c r="B1713" t="s">
        <v>73</v>
      </c>
      <c r="C1713" t="s">
        <v>58</v>
      </c>
      <c r="D1713">
        <v>2023</v>
      </c>
      <c r="E1713" t="s">
        <v>62</v>
      </c>
      <c r="F1713">
        <v>104</v>
      </c>
      <c r="G1713" t="s">
        <v>145</v>
      </c>
    </row>
    <row r="1714" spans="1:7" hidden="1" x14ac:dyDescent="0.35">
      <c r="A1714" t="s">
        <v>12</v>
      </c>
      <c r="B1714" t="s">
        <v>73</v>
      </c>
      <c r="C1714" t="s">
        <v>58</v>
      </c>
      <c r="D1714">
        <v>2023</v>
      </c>
      <c r="E1714" t="s">
        <v>98</v>
      </c>
      <c r="F1714">
        <v>138</v>
      </c>
      <c r="G1714" t="s">
        <v>145</v>
      </c>
    </row>
    <row r="1715" spans="1:7" hidden="1" x14ac:dyDescent="0.35">
      <c r="A1715" t="s">
        <v>12</v>
      </c>
      <c r="B1715" t="s">
        <v>73</v>
      </c>
      <c r="C1715" t="s">
        <v>58</v>
      </c>
      <c r="D1715">
        <v>2024</v>
      </c>
      <c r="E1715" t="s">
        <v>62</v>
      </c>
      <c r="F1715">
        <v>88</v>
      </c>
      <c r="G1715" t="s">
        <v>145</v>
      </c>
    </row>
    <row r="1716" spans="1:7" hidden="1" x14ac:dyDescent="0.35">
      <c r="A1716" t="s">
        <v>12</v>
      </c>
      <c r="B1716" t="s">
        <v>73</v>
      </c>
      <c r="C1716" t="s">
        <v>58</v>
      </c>
      <c r="D1716">
        <v>2024</v>
      </c>
      <c r="E1716" t="s">
        <v>98</v>
      </c>
      <c r="F1716">
        <v>112</v>
      </c>
      <c r="G1716" t="s">
        <v>145</v>
      </c>
    </row>
    <row r="1717" spans="1:7" hidden="1" x14ac:dyDescent="0.35">
      <c r="A1717" t="s">
        <v>12</v>
      </c>
      <c r="B1717" t="s">
        <v>73</v>
      </c>
      <c r="C1717" t="s">
        <v>58</v>
      </c>
      <c r="D1717">
        <v>2025</v>
      </c>
      <c r="E1717" t="s">
        <v>62</v>
      </c>
      <c r="F1717">
        <v>92</v>
      </c>
      <c r="G1717" t="s">
        <v>145</v>
      </c>
    </row>
    <row r="1718" spans="1:7" hidden="1" x14ac:dyDescent="0.35">
      <c r="A1718" t="s">
        <v>12</v>
      </c>
      <c r="B1718" t="s">
        <v>73</v>
      </c>
      <c r="C1718" t="s">
        <v>58</v>
      </c>
      <c r="D1718">
        <v>2025</v>
      </c>
      <c r="E1718" t="s">
        <v>98</v>
      </c>
      <c r="F1718">
        <v>0</v>
      </c>
      <c r="G1718" t="s">
        <v>145</v>
      </c>
    </row>
    <row r="1719" spans="1:7" hidden="1" x14ac:dyDescent="0.35">
      <c r="A1719" t="s">
        <v>12</v>
      </c>
      <c r="B1719" t="s">
        <v>73</v>
      </c>
      <c r="C1719" t="s">
        <v>59</v>
      </c>
      <c r="D1719">
        <v>2022</v>
      </c>
      <c r="E1719" t="s">
        <v>62</v>
      </c>
      <c r="F1719">
        <v>2590</v>
      </c>
      <c r="G1719" t="s">
        <v>145</v>
      </c>
    </row>
    <row r="1720" spans="1:7" hidden="1" x14ac:dyDescent="0.35">
      <c r="A1720" t="s">
        <v>12</v>
      </c>
      <c r="B1720" t="s">
        <v>73</v>
      </c>
      <c r="C1720" t="s">
        <v>59</v>
      </c>
      <c r="D1720">
        <v>2022</v>
      </c>
      <c r="E1720" t="s">
        <v>98</v>
      </c>
      <c r="F1720">
        <v>2534</v>
      </c>
      <c r="G1720" t="s">
        <v>145</v>
      </c>
    </row>
    <row r="1721" spans="1:7" hidden="1" x14ac:dyDescent="0.35">
      <c r="A1721" t="s">
        <v>12</v>
      </c>
      <c r="B1721" t="s">
        <v>73</v>
      </c>
      <c r="C1721" t="s">
        <v>59</v>
      </c>
      <c r="D1721">
        <v>2023</v>
      </c>
      <c r="E1721" t="s">
        <v>62</v>
      </c>
      <c r="F1721">
        <v>2446</v>
      </c>
      <c r="G1721" t="s">
        <v>145</v>
      </c>
    </row>
    <row r="1722" spans="1:7" hidden="1" x14ac:dyDescent="0.35">
      <c r="A1722" t="s">
        <v>12</v>
      </c>
      <c r="B1722" t="s">
        <v>73</v>
      </c>
      <c r="C1722" t="s">
        <v>59</v>
      </c>
      <c r="D1722">
        <v>2023</v>
      </c>
      <c r="E1722" t="s">
        <v>98</v>
      </c>
      <c r="F1722">
        <v>2575</v>
      </c>
      <c r="G1722" t="s">
        <v>145</v>
      </c>
    </row>
    <row r="1723" spans="1:7" hidden="1" x14ac:dyDescent="0.35">
      <c r="A1723" t="s">
        <v>12</v>
      </c>
      <c r="B1723" t="s">
        <v>73</v>
      </c>
      <c r="C1723" t="s">
        <v>59</v>
      </c>
      <c r="D1723">
        <v>2024</v>
      </c>
      <c r="E1723" t="s">
        <v>62</v>
      </c>
      <c r="F1723">
        <v>2544</v>
      </c>
      <c r="G1723" t="s">
        <v>145</v>
      </c>
    </row>
    <row r="1724" spans="1:7" hidden="1" x14ac:dyDescent="0.35">
      <c r="A1724" t="s">
        <v>12</v>
      </c>
      <c r="B1724" t="s">
        <v>73</v>
      </c>
      <c r="C1724" t="s">
        <v>59</v>
      </c>
      <c r="D1724">
        <v>2024</v>
      </c>
      <c r="E1724" t="s">
        <v>98</v>
      </c>
      <c r="F1724">
        <v>2489</v>
      </c>
      <c r="G1724" t="s">
        <v>145</v>
      </c>
    </row>
    <row r="1725" spans="1:7" hidden="1" x14ac:dyDescent="0.35">
      <c r="A1725" t="s">
        <v>12</v>
      </c>
      <c r="B1725" t="s">
        <v>73</v>
      </c>
      <c r="C1725" t="s">
        <v>59</v>
      </c>
      <c r="D1725">
        <v>2025</v>
      </c>
      <c r="E1725" t="s">
        <v>62</v>
      </c>
      <c r="F1725">
        <v>2695</v>
      </c>
      <c r="G1725" t="s">
        <v>145</v>
      </c>
    </row>
    <row r="1726" spans="1:7" hidden="1" x14ac:dyDescent="0.35">
      <c r="A1726" t="s">
        <v>12</v>
      </c>
      <c r="B1726" t="s">
        <v>73</v>
      </c>
      <c r="C1726" t="s">
        <v>59</v>
      </c>
      <c r="D1726">
        <v>2025</v>
      </c>
      <c r="E1726" t="s">
        <v>98</v>
      </c>
      <c r="F1726">
        <v>2450</v>
      </c>
      <c r="G1726" t="s">
        <v>145</v>
      </c>
    </row>
    <row r="1727" spans="1:7" hidden="1" x14ac:dyDescent="0.35">
      <c r="A1727" t="s">
        <v>13</v>
      </c>
      <c r="B1727" t="s">
        <v>74</v>
      </c>
      <c r="C1727" t="s">
        <v>57</v>
      </c>
      <c r="D1727">
        <v>2022</v>
      </c>
      <c r="E1727" t="s">
        <v>62</v>
      </c>
      <c r="F1727">
        <v>3598</v>
      </c>
      <c r="G1727" t="s">
        <v>145</v>
      </c>
    </row>
    <row r="1728" spans="1:7" hidden="1" x14ac:dyDescent="0.35">
      <c r="A1728" t="s">
        <v>13</v>
      </c>
      <c r="B1728" t="s">
        <v>74</v>
      </c>
      <c r="C1728" t="s">
        <v>57</v>
      </c>
      <c r="D1728">
        <v>2022</v>
      </c>
      <c r="E1728" t="s">
        <v>98</v>
      </c>
      <c r="F1728">
        <v>3291</v>
      </c>
      <c r="G1728" t="s">
        <v>145</v>
      </c>
    </row>
    <row r="1729" spans="1:7" hidden="1" x14ac:dyDescent="0.35">
      <c r="A1729" t="s">
        <v>13</v>
      </c>
      <c r="B1729" t="s">
        <v>74</v>
      </c>
      <c r="C1729" t="s">
        <v>57</v>
      </c>
      <c r="D1729">
        <v>2023</v>
      </c>
      <c r="E1729" t="s">
        <v>62</v>
      </c>
      <c r="F1729">
        <v>3039</v>
      </c>
      <c r="G1729" t="s">
        <v>145</v>
      </c>
    </row>
    <row r="1730" spans="1:7" hidden="1" x14ac:dyDescent="0.35">
      <c r="A1730" t="s">
        <v>13</v>
      </c>
      <c r="B1730" t="s">
        <v>74</v>
      </c>
      <c r="C1730" t="s">
        <v>57</v>
      </c>
      <c r="D1730">
        <v>2023</v>
      </c>
      <c r="E1730" t="s">
        <v>98</v>
      </c>
      <c r="F1730">
        <v>2895</v>
      </c>
      <c r="G1730" t="s">
        <v>145</v>
      </c>
    </row>
    <row r="1731" spans="1:7" hidden="1" x14ac:dyDescent="0.35">
      <c r="A1731" t="s">
        <v>13</v>
      </c>
      <c r="B1731" t="s">
        <v>74</v>
      </c>
      <c r="C1731" t="s">
        <v>57</v>
      </c>
      <c r="D1731">
        <v>2024</v>
      </c>
      <c r="E1731" t="s">
        <v>62</v>
      </c>
      <c r="F1731">
        <v>2711</v>
      </c>
      <c r="G1731" t="s">
        <v>145</v>
      </c>
    </row>
    <row r="1732" spans="1:7" hidden="1" x14ac:dyDescent="0.35">
      <c r="A1732" t="s">
        <v>13</v>
      </c>
      <c r="B1732" t="s">
        <v>74</v>
      </c>
      <c r="C1732" t="s">
        <v>57</v>
      </c>
      <c r="D1732">
        <v>2024</v>
      </c>
      <c r="E1732" t="s">
        <v>98</v>
      </c>
      <c r="F1732">
        <v>2417</v>
      </c>
      <c r="G1732" t="s">
        <v>145</v>
      </c>
    </row>
    <row r="1733" spans="1:7" hidden="1" x14ac:dyDescent="0.35">
      <c r="A1733" t="s">
        <v>13</v>
      </c>
      <c r="B1733" t="s">
        <v>74</v>
      </c>
      <c r="C1733" t="s">
        <v>57</v>
      </c>
      <c r="D1733">
        <v>2025</v>
      </c>
      <c r="E1733" t="s">
        <v>62</v>
      </c>
      <c r="F1733">
        <v>2824</v>
      </c>
      <c r="G1733" t="s">
        <v>145</v>
      </c>
    </row>
    <row r="1734" spans="1:7" hidden="1" x14ac:dyDescent="0.35">
      <c r="A1734" t="s">
        <v>13</v>
      </c>
      <c r="B1734" t="s">
        <v>74</v>
      </c>
      <c r="C1734" t="s">
        <v>57</v>
      </c>
      <c r="D1734">
        <v>2025</v>
      </c>
      <c r="E1734" t="s">
        <v>98</v>
      </c>
      <c r="F1734">
        <v>153</v>
      </c>
      <c r="G1734" t="s">
        <v>145</v>
      </c>
    </row>
    <row r="1735" spans="1:7" hidden="1" x14ac:dyDescent="0.35">
      <c r="A1735" t="s">
        <v>13</v>
      </c>
      <c r="B1735" t="s">
        <v>74</v>
      </c>
      <c r="C1735" t="s">
        <v>58</v>
      </c>
      <c r="D1735">
        <v>2022</v>
      </c>
      <c r="E1735" t="s">
        <v>62</v>
      </c>
      <c r="F1735">
        <v>57</v>
      </c>
      <c r="G1735" t="s">
        <v>145</v>
      </c>
    </row>
    <row r="1736" spans="1:7" hidden="1" x14ac:dyDescent="0.35">
      <c r="A1736" t="s">
        <v>13</v>
      </c>
      <c r="B1736" t="s">
        <v>74</v>
      </c>
      <c r="C1736" t="s">
        <v>58</v>
      </c>
      <c r="D1736">
        <v>2022</v>
      </c>
      <c r="E1736" t="s">
        <v>98</v>
      </c>
      <c r="F1736">
        <v>109</v>
      </c>
      <c r="G1736" t="s">
        <v>145</v>
      </c>
    </row>
    <row r="1737" spans="1:7" hidden="1" x14ac:dyDescent="0.35">
      <c r="A1737" t="s">
        <v>13</v>
      </c>
      <c r="B1737" t="s">
        <v>74</v>
      </c>
      <c r="C1737" t="s">
        <v>58</v>
      </c>
      <c r="D1737">
        <v>2023</v>
      </c>
      <c r="E1737" t="s">
        <v>62</v>
      </c>
      <c r="F1737">
        <v>34</v>
      </c>
      <c r="G1737" t="s">
        <v>145</v>
      </c>
    </row>
    <row r="1738" spans="1:7" hidden="1" x14ac:dyDescent="0.35">
      <c r="A1738" t="s">
        <v>13</v>
      </c>
      <c r="B1738" t="s">
        <v>74</v>
      </c>
      <c r="C1738" t="s">
        <v>58</v>
      </c>
      <c r="D1738">
        <v>2023</v>
      </c>
      <c r="E1738" t="s">
        <v>98</v>
      </c>
      <c r="F1738">
        <v>84</v>
      </c>
      <c r="G1738" t="s">
        <v>145</v>
      </c>
    </row>
    <row r="1739" spans="1:7" hidden="1" x14ac:dyDescent="0.35">
      <c r="A1739" t="s">
        <v>13</v>
      </c>
      <c r="B1739" t="s">
        <v>74</v>
      </c>
      <c r="C1739" t="s">
        <v>58</v>
      </c>
      <c r="D1739">
        <v>2024</v>
      </c>
      <c r="E1739" t="s">
        <v>62</v>
      </c>
      <c r="F1739">
        <v>100</v>
      </c>
      <c r="G1739" t="s">
        <v>145</v>
      </c>
    </row>
    <row r="1740" spans="1:7" hidden="1" x14ac:dyDescent="0.35">
      <c r="A1740" t="s">
        <v>13</v>
      </c>
      <c r="B1740" t="s">
        <v>74</v>
      </c>
      <c r="C1740" t="s">
        <v>58</v>
      </c>
      <c r="D1740">
        <v>2024</v>
      </c>
      <c r="E1740" t="s">
        <v>98</v>
      </c>
      <c r="F1740">
        <v>59</v>
      </c>
      <c r="G1740" t="s">
        <v>145</v>
      </c>
    </row>
    <row r="1741" spans="1:7" hidden="1" x14ac:dyDescent="0.35">
      <c r="A1741" t="s">
        <v>13</v>
      </c>
      <c r="B1741" t="s">
        <v>74</v>
      </c>
      <c r="C1741" t="s">
        <v>58</v>
      </c>
      <c r="D1741">
        <v>2025</v>
      </c>
      <c r="E1741" t="s">
        <v>62</v>
      </c>
      <c r="F1741">
        <v>19</v>
      </c>
      <c r="G1741" t="s">
        <v>145</v>
      </c>
    </row>
    <row r="1742" spans="1:7" hidden="1" x14ac:dyDescent="0.35">
      <c r="A1742" t="s">
        <v>13</v>
      </c>
      <c r="B1742" t="s">
        <v>74</v>
      </c>
      <c r="C1742" t="s">
        <v>58</v>
      </c>
      <c r="D1742">
        <v>2025</v>
      </c>
      <c r="E1742" t="s">
        <v>98</v>
      </c>
      <c r="F1742">
        <v>1907</v>
      </c>
      <c r="G1742" t="s">
        <v>145</v>
      </c>
    </row>
    <row r="1743" spans="1:7" hidden="1" x14ac:dyDescent="0.35">
      <c r="A1743" t="s">
        <v>13</v>
      </c>
      <c r="B1743" t="s">
        <v>74</v>
      </c>
      <c r="C1743" t="s">
        <v>59</v>
      </c>
      <c r="D1743">
        <v>2022</v>
      </c>
      <c r="E1743" t="s">
        <v>62</v>
      </c>
      <c r="F1743">
        <v>1954</v>
      </c>
      <c r="G1743" t="s">
        <v>145</v>
      </c>
    </row>
    <row r="1744" spans="1:7" hidden="1" x14ac:dyDescent="0.35">
      <c r="A1744" t="s">
        <v>13</v>
      </c>
      <c r="B1744" t="s">
        <v>74</v>
      </c>
      <c r="C1744" t="s">
        <v>59</v>
      </c>
      <c r="D1744">
        <v>2022</v>
      </c>
      <c r="E1744" t="s">
        <v>98</v>
      </c>
      <c r="F1744">
        <v>1650</v>
      </c>
      <c r="G1744" t="s">
        <v>145</v>
      </c>
    </row>
    <row r="1745" spans="1:7" hidden="1" x14ac:dyDescent="0.35">
      <c r="A1745" t="s">
        <v>13</v>
      </c>
      <c r="B1745" t="s">
        <v>74</v>
      </c>
      <c r="C1745" t="s">
        <v>59</v>
      </c>
      <c r="D1745">
        <v>2023</v>
      </c>
      <c r="E1745" t="s">
        <v>62</v>
      </c>
      <c r="F1745">
        <v>1212</v>
      </c>
      <c r="G1745" t="s">
        <v>145</v>
      </c>
    </row>
    <row r="1746" spans="1:7" hidden="1" x14ac:dyDescent="0.35">
      <c r="A1746" t="s">
        <v>13</v>
      </c>
      <c r="B1746" t="s">
        <v>74</v>
      </c>
      <c r="C1746" t="s">
        <v>59</v>
      </c>
      <c r="D1746">
        <v>2023</v>
      </c>
      <c r="E1746" t="s">
        <v>98</v>
      </c>
      <c r="F1746">
        <v>1385</v>
      </c>
      <c r="G1746" t="s">
        <v>145</v>
      </c>
    </row>
    <row r="1747" spans="1:7" hidden="1" x14ac:dyDescent="0.35">
      <c r="A1747" t="s">
        <v>13</v>
      </c>
      <c r="B1747" t="s">
        <v>74</v>
      </c>
      <c r="C1747" t="s">
        <v>59</v>
      </c>
      <c r="D1747">
        <v>2024</v>
      </c>
      <c r="E1747" t="s">
        <v>62</v>
      </c>
      <c r="F1747">
        <v>1205</v>
      </c>
      <c r="G1747" t="s">
        <v>145</v>
      </c>
    </row>
    <row r="1748" spans="1:7" hidden="1" x14ac:dyDescent="0.35">
      <c r="A1748" t="s">
        <v>13</v>
      </c>
      <c r="B1748" t="s">
        <v>74</v>
      </c>
      <c r="C1748" t="s">
        <v>59</v>
      </c>
      <c r="D1748">
        <v>2024</v>
      </c>
      <c r="E1748" t="s">
        <v>98</v>
      </c>
      <c r="F1748">
        <v>1381</v>
      </c>
      <c r="G1748" t="s">
        <v>145</v>
      </c>
    </row>
    <row r="1749" spans="1:7" hidden="1" x14ac:dyDescent="0.35">
      <c r="A1749" t="s">
        <v>13</v>
      </c>
      <c r="B1749" t="s">
        <v>74</v>
      </c>
      <c r="C1749" t="s">
        <v>59</v>
      </c>
      <c r="D1749">
        <v>2025</v>
      </c>
      <c r="E1749" t="s">
        <v>62</v>
      </c>
      <c r="F1749">
        <v>1168</v>
      </c>
      <c r="G1749" t="s">
        <v>145</v>
      </c>
    </row>
    <row r="1750" spans="1:7" hidden="1" x14ac:dyDescent="0.35">
      <c r="A1750" t="s">
        <v>13</v>
      </c>
      <c r="B1750" t="s">
        <v>74</v>
      </c>
      <c r="C1750" t="s">
        <v>59</v>
      </c>
      <c r="D1750">
        <v>2025</v>
      </c>
      <c r="E1750" t="s">
        <v>98</v>
      </c>
      <c r="F1750">
        <v>1216</v>
      </c>
      <c r="G1750" t="s">
        <v>145</v>
      </c>
    </row>
    <row r="1751" spans="1:7" hidden="1" x14ac:dyDescent="0.35">
      <c r="A1751" t="s">
        <v>14</v>
      </c>
      <c r="B1751" t="s">
        <v>75</v>
      </c>
      <c r="C1751" t="s">
        <v>57</v>
      </c>
      <c r="D1751">
        <v>2022</v>
      </c>
      <c r="E1751" t="s">
        <v>62</v>
      </c>
      <c r="F1751">
        <v>1021</v>
      </c>
      <c r="G1751" t="s">
        <v>145</v>
      </c>
    </row>
    <row r="1752" spans="1:7" hidden="1" x14ac:dyDescent="0.35">
      <c r="A1752" t="s">
        <v>14</v>
      </c>
      <c r="B1752" t="s">
        <v>75</v>
      </c>
      <c r="C1752" t="s">
        <v>57</v>
      </c>
      <c r="D1752">
        <v>2022</v>
      </c>
      <c r="E1752" t="s">
        <v>98</v>
      </c>
      <c r="F1752">
        <v>1308</v>
      </c>
      <c r="G1752" t="s">
        <v>145</v>
      </c>
    </row>
    <row r="1753" spans="1:7" hidden="1" x14ac:dyDescent="0.35">
      <c r="A1753" t="s">
        <v>14</v>
      </c>
      <c r="B1753" t="s">
        <v>75</v>
      </c>
      <c r="C1753" t="s">
        <v>57</v>
      </c>
      <c r="D1753">
        <v>2023</v>
      </c>
      <c r="E1753" t="s">
        <v>62</v>
      </c>
      <c r="F1753">
        <v>1100</v>
      </c>
      <c r="G1753" t="s">
        <v>145</v>
      </c>
    </row>
    <row r="1754" spans="1:7" hidden="1" x14ac:dyDescent="0.35">
      <c r="A1754" t="s">
        <v>14</v>
      </c>
      <c r="B1754" t="s">
        <v>75</v>
      </c>
      <c r="C1754" t="s">
        <v>57</v>
      </c>
      <c r="D1754">
        <v>2023</v>
      </c>
      <c r="E1754" t="s">
        <v>98</v>
      </c>
      <c r="F1754">
        <v>1397</v>
      </c>
      <c r="G1754" t="s">
        <v>145</v>
      </c>
    </row>
    <row r="1755" spans="1:7" hidden="1" x14ac:dyDescent="0.35">
      <c r="A1755" t="s">
        <v>14</v>
      </c>
      <c r="B1755" t="s">
        <v>75</v>
      </c>
      <c r="C1755" t="s">
        <v>57</v>
      </c>
      <c r="D1755">
        <v>2024</v>
      </c>
      <c r="E1755" t="s">
        <v>62</v>
      </c>
      <c r="F1755">
        <v>965</v>
      </c>
      <c r="G1755" t="s">
        <v>145</v>
      </c>
    </row>
    <row r="1756" spans="1:7" hidden="1" x14ac:dyDescent="0.35">
      <c r="A1756" t="s">
        <v>14</v>
      </c>
      <c r="B1756" t="s">
        <v>75</v>
      </c>
      <c r="C1756" t="s">
        <v>57</v>
      </c>
      <c r="D1756">
        <v>2024</v>
      </c>
      <c r="E1756" t="s">
        <v>98</v>
      </c>
      <c r="F1756">
        <v>1151</v>
      </c>
      <c r="G1756" t="s">
        <v>145</v>
      </c>
    </row>
    <row r="1757" spans="1:7" hidden="1" x14ac:dyDescent="0.35">
      <c r="A1757" t="s">
        <v>14</v>
      </c>
      <c r="B1757" t="s">
        <v>75</v>
      </c>
      <c r="C1757" t="s">
        <v>57</v>
      </c>
      <c r="D1757">
        <v>2025</v>
      </c>
      <c r="E1757" t="s">
        <v>62</v>
      </c>
      <c r="F1757">
        <v>902</v>
      </c>
      <c r="G1757" t="s">
        <v>145</v>
      </c>
    </row>
    <row r="1758" spans="1:7" hidden="1" x14ac:dyDescent="0.35">
      <c r="A1758" t="s">
        <v>14</v>
      </c>
      <c r="B1758" t="s">
        <v>75</v>
      </c>
      <c r="C1758" t="s">
        <v>57</v>
      </c>
      <c r="D1758">
        <v>2025</v>
      </c>
      <c r="E1758" t="s">
        <v>98</v>
      </c>
      <c r="F1758">
        <v>42</v>
      </c>
      <c r="G1758" t="s">
        <v>145</v>
      </c>
    </row>
    <row r="1759" spans="1:7" hidden="1" x14ac:dyDescent="0.35">
      <c r="A1759" t="s">
        <v>14</v>
      </c>
      <c r="B1759" t="s">
        <v>75</v>
      </c>
      <c r="C1759" t="s">
        <v>58</v>
      </c>
      <c r="D1759">
        <v>2022</v>
      </c>
      <c r="E1759" t="s">
        <v>62</v>
      </c>
      <c r="F1759">
        <v>106</v>
      </c>
      <c r="G1759" t="s">
        <v>145</v>
      </c>
    </row>
    <row r="1760" spans="1:7" hidden="1" x14ac:dyDescent="0.35">
      <c r="A1760" t="s">
        <v>14</v>
      </c>
      <c r="B1760" t="s">
        <v>75</v>
      </c>
      <c r="C1760" t="s">
        <v>58</v>
      </c>
      <c r="D1760">
        <v>2022</v>
      </c>
      <c r="E1760" t="s">
        <v>98</v>
      </c>
      <c r="F1760">
        <v>112</v>
      </c>
      <c r="G1760" t="s">
        <v>145</v>
      </c>
    </row>
    <row r="1761" spans="1:7" hidden="1" x14ac:dyDescent="0.35">
      <c r="A1761" t="s">
        <v>14</v>
      </c>
      <c r="B1761" t="s">
        <v>75</v>
      </c>
      <c r="C1761" t="s">
        <v>58</v>
      </c>
      <c r="D1761">
        <v>2023</v>
      </c>
      <c r="E1761" t="s">
        <v>62</v>
      </c>
      <c r="F1761">
        <v>101</v>
      </c>
      <c r="G1761" t="s">
        <v>145</v>
      </c>
    </row>
    <row r="1762" spans="1:7" hidden="1" x14ac:dyDescent="0.35">
      <c r="A1762" t="s">
        <v>14</v>
      </c>
      <c r="B1762" t="s">
        <v>75</v>
      </c>
      <c r="C1762" t="s">
        <v>58</v>
      </c>
      <c r="D1762">
        <v>2023</v>
      </c>
      <c r="E1762" t="s">
        <v>98</v>
      </c>
      <c r="F1762">
        <v>428</v>
      </c>
      <c r="G1762" t="s">
        <v>145</v>
      </c>
    </row>
    <row r="1763" spans="1:7" hidden="1" x14ac:dyDescent="0.35">
      <c r="A1763" t="s">
        <v>14</v>
      </c>
      <c r="B1763" t="s">
        <v>75</v>
      </c>
      <c r="C1763" t="s">
        <v>58</v>
      </c>
      <c r="D1763">
        <v>2024</v>
      </c>
      <c r="E1763" t="s">
        <v>62</v>
      </c>
      <c r="F1763">
        <v>124</v>
      </c>
      <c r="G1763" t="s">
        <v>145</v>
      </c>
    </row>
    <row r="1764" spans="1:7" hidden="1" x14ac:dyDescent="0.35">
      <c r="A1764" t="s">
        <v>14</v>
      </c>
      <c r="B1764" t="s">
        <v>75</v>
      </c>
      <c r="C1764" t="s">
        <v>58</v>
      </c>
      <c r="D1764">
        <v>2024</v>
      </c>
      <c r="E1764" t="s">
        <v>98</v>
      </c>
      <c r="F1764">
        <v>137</v>
      </c>
      <c r="G1764" t="s">
        <v>145</v>
      </c>
    </row>
    <row r="1765" spans="1:7" hidden="1" x14ac:dyDescent="0.35">
      <c r="A1765" t="s">
        <v>14</v>
      </c>
      <c r="B1765" t="s">
        <v>75</v>
      </c>
      <c r="C1765" t="s">
        <v>58</v>
      </c>
      <c r="D1765">
        <v>2025</v>
      </c>
      <c r="E1765" t="s">
        <v>62</v>
      </c>
      <c r="F1765">
        <v>63</v>
      </c>
      <c r="G1765" t="s">
        <v>145</v>
      </c>
    </row>
    <row r="1766" spans="1:7" hidden="1" x14ac:dyDescent="0.35">
      <c r="A1766" t="s">
        <v>14</v>
      </c>
      <c r="B1766" t="s">
        <v>75</v>
      </c>
      <c r="C1766" t="s">
        <v>58</v>
      </c>
      <c r="D1766">
        <v>2025</v>
      </c>
      <c r="E1766" t="s">
        <v>98</v>
      </c>
      <c r="F1766">
        <v>255</v>
      </c>
      <c r="G1766" t="s">
        <v>145</v>
      </c>
    </row>
    <row r="1767" spans="1:7" hidden="1" x14ac:dyDescent="0.35">
      <c r="A1767" t="s">
        <v>14</v>
      </c>
      <c r="B1767" t="s">
        <v>75</v>
      </c>
      <c r="C1767" t="s">
        <v>59</v>
      </c>
      <c r="D1767">
        <v>2022</v>
      </c>
      <c r="E1767" t="s">
        <v>62</v>
      </c>
      <c r="F1767">
        <v>599</v>
      </c>
      <c r="G1767" t="s">
        <v>145</v>
      </c>
    </row>
    <row r="1768" spans="1:7" hidden="1" x14ac:dyDescent="0.35">
      <c r="A1768" t="s">
        <v>14</v>
      </c>
      <c r="B1768" t="s">
        <v>75</v>
      </c>
      <c r="C1768" t="s">
        <v>59</v>
      </c>
      <c r="D1768">
        <v>2022</v>
      </c>
      <c r="E1768" t="s">
        <v>98</v>
      </c>
      <c r="F1768">
        <v>600</v>
      </c>
      <c r="G1768" t="s">
        <v>145</v>
      </c>
    </row>
    <row r="1769" spans="1:7" hidden="1" x14ac:dyDescent="0.35">
      <c r="A1769" t="s">
        <v>14</v>
      </c>
      <c r="B1769" t="s">
        <v>75</v>
      </c>
      <c r="C1769" t="s">
        <v>59</v>
      </c>
      <c r="D1769">
        <v>2023</v>
      </c>
      <c r="E1769" t="s">
        <v>62</v>
      </c>
      <c r="F1769">
        <v>582</v>
      </c>
      <c r="G1769" t="s">
        <v>145</v>
      </c>
    </row>
    <row r="1770" spans="1:7" hidden="1" x14ac:dyDescent="0.35">
      <c r="A1770" t="s">
        <v>14</v>
      </c>
      <c r="B1770" t="s">
        <v>75</v>
      </c>
      <c r="C1770" t="s">
        <v>59</v>
      </c>
      <c r="D1770">
        <v>2023</v>
      </c>
      <c r="E1770" t="s">
        <v>98</v>
      </c>
      <c r="F1770">
        <v>694</v>
      </c>
      <c r="G1770" t="s">
        <v>145</v>
      </c>
    </row>
    <row r="1771" spans="1:7" hidden="1" x14ac:dyDescent="0.35">
      <c r="A1771" t="s">
        <v>14</v>
      </c>
      <c r="B1771" t="s">
        <v>75</v>
      </c>
      <c r="C1771" t="s">
        <v>59</v>
      </c>
      <c r="D1771">
        <v>2024</v>
      </c>
      <c r="E1771" t="s">
        <v>62</v>
      </c>
      <c r="F1771">
        <v>495</v>
      </c>
      <c r="G1771" t="s">
        <v>145</v>
      </c>
    </row>
    <row r="1772" spans="1:7" hidden="1" x14ac:dyDescent="0.35">
      <c r="A1772" t="s">
        <v>14</v>
      </c>
      <c r="B1772" t="s">
        <v>75</v>
      </c>
      <c r="C1772" t="s">
        <v>59</v>
      </c>
      <c r="D1772">
        <v>2024</v>
      </c>
      <c r="E1772" t="s">
        <v>98</v>
      </c>
      <c r="F1772">
        <v>514</v>
      </c>
      <c r="G1772" t="s">
        <v>145</v>
      </c>
    </row>
    <row r="1773" spans="1:7" hidden="1" x14ac:dyDescent="0.35">
      <c r="A1773" t="s">
        <v>14</v>
      </c>
      <c r="B1773" t="s">
        <v>75</v>
      </c>
      <c r="C1773" t="s">
        <v>59</v>
      </c>
      <c r="D1773">
        <v>2025</v>
      </c>
      <c r="E1773" t="s">
        <v>62</v>
      </c>
      <c r="F1773">
        <v>450</v>
      </c>
      <c r="G1773" t="s">
        <v>145</v>
      </c>
    </row>
    <row r="1774" spans="1:7" hidden="1" x14ac:dyDescent="0.35">
      <c r="A1774" t="s">
        <v>14</v>
      </c>
      <c r="B1774" t="s">
        <v>75</v>
      </c>
      <c r="C1774" t="s">
        <v>59</v>
      </c>
      <c r="D1774">
        <v>2025</v>
      </c>
      <c r="E1774" t="s">
        <v>98</v>
      </c>
      <c r="F1774">
        <v>528</v>
      </c>
      <c r="G1774" t="s">
        <v>145</v>
      </c>
    </row>
    <row r="1775" spans="1:7" hidden="1" x14ac:dyDescent="0.35">
      <c r="A1775" t="s">
        <v>15</v>
      </c>
      <c r="B1775" t="s">
        <v>76</v>
      </c>
      <c r="C1775" t="s">
        <v>57</v>
      </c>
      <c r="D1775">
        <v>2022</v>
      </c>
      <c r="E1775" t="s">
        <v>62</v>
      </c>
      <c r="F1775">
        <v>1098</v>
      </c>
      <c r="G1775" t="s">
        <v>145</v>
      </c>
    </row>
    <row r="1776" spans="1:7" hidden="1" x14ac:dyDescent="0.35">
      <c r="A1776" t="s">
        <v>15</v>
      </c>
      <c r="B1776" t="s">
        <v>76</v>
      </c>
      <c r="C1776" t="s">
        <v>57</v>
      </c>
      <c r="D1776">
        <v>2022</v>
      </c>
      <c r="E1776" t="s">
        <v>98</v>
      </c>
      <c r="F1776">
        <v>1815</v>
      </c>
      <c r="G1776" t="s">
        <v>145</v>
      </c>
    </row>
    <row r="1777" spans="1:7" hidden="1" x14ac:dyDescent="0.35">
      <c r="A1777" t="s">
        <v>15</v>
      </c>
      <c r="B1777" t="s">
        <v>76</v>
      </c>
      <c r="C1777" t="s">
        <v>57</v>
      </c>
      <c r="D1777">
        <v>2023</v>
      </c>
      <c r="E1777" t="s">
        <v>62</v>
      </c>
      <c r="F1777">
        <v>1213</v>
      </c>
      <c r="G1777" t="s">
        <v>145</v>
      </c>
    </row>
    <row r="1778" spans="1:7" hidden="1" x14ac:dyDescent="0.35">
      <c r="A1778" t="s">
        <v>15</v>
      </c>
      <c r="B1778" t="s">
        <v>76</v>
      </c>
      <c r="C1778" t="s">
        <v>57</v>
      </c>
      <c r="D1778">
        <v>2023</v>
      </c>
      <c r="E1778" t="s">
        <v>98</v>
      </c>
      <c r="F1778">
        <v>1718</v>
      </c>
      <c r="G1778" t="s">
        <v>145</v>
      </c>
    </row>
    <row r="1779" spans="1:7" hidden="1" x14ac:dyDescent="0.35">
      <c r="A1779" t="s">
        <v>15</v>
      </c>
      <c r="B1779" t="s">
        <v>76</v>
      </c>
      <c r="C1779" t="s">
        <v>57</v>
      </c>
      <c r="D1779">
        <v>2024</v>
      </c>
      <c r="E1779" t="s">
        <v>62</v>
      </c>
      <c r="F1779">
        <v>1118</v>
      </c>
      <c r="G1779" t="s">
        <v>145</v>
      </c>
    </row>
    <row r="1780" spans="1:7" hidden="1" x14ac:dyDescent="0.35">
      <c r="A1780" t="s">
        <v>15</v>
      </c>
      <c r="B1780" t="s">
        <v>76</v>
      </c>
      <c r="C1780" t="s">
        <v>57</v>
      </c>
      <c r="D1780">
        <v>2024</v>
      </c>
      <c r="E1780" t="s">
        <v>98</v>
      </c>
      <c r="F1780">
        <v>1744</v>
      </c>
      <c r="G1780" t="s">
        <v>145</v>
      </c>
    </row>
    <row r="1781" spans="1:7" hidden="1" x14ac:dyDescent="0.35">
      <c r="A1781" t="s">
        <v>15</v>
      </c>
      <c r="B1781" t="s">
        <v>76</v>
      </c>
      <c r="C1781" t="s">
        <v>57</v>
      </c>
      <c r="D1781">
        <v>2025</v>
      </c>
      <c r="E1781" t="s">
        <v>62</v>
      </c>
      <c r="F1781">
        <v>1181</v>
      </c>
      <c r="G1781" t="s">
        <v>145</v>
      </c>
    </row>
    <row r="1782" spans="1:7" hidden="1" x14ac:dyDescent="0.35">
      <c r="A1782" t="s">
        <v>15</v>
      </c>
      <c r="B1782" t="s">
        <v>76</v>
      </c>
      <c r="C1782" t="s">
        <v>57</v>
      </c>
      <c r="D1782">
        <v>2025</v>
      </c>
      <c r="E1782" t="s">
        <v>98</v>
      </c>
      <c r="F1782">
        <v>25</v>
      </c>
      <c r="G1782" t="s">
        <v>145</v>
      </c>
    </row>
    <row r="1783" spans="1:7" hidden="1" x14ac:dyDescent="0.35">
      <c r="A1783" t="s">
        <v>15</v>
      </c>
      <c r="B1783" t="s">
        <v>76</v>
      </c>
      <c r="C1783" t="s">
        <v>58</v>
      </c>
      <c r="D1783">
        <v>2022</v>
      </c>
      <c r="E1783" t="s">
        <v>62</v>
      </c>
      <c r="F1783">
        <v>17</v>
      </c>
      <c r="G1783" t="s">
        <v>145</v>
      </c>
    </row>
    <row r="1784" spans="1:7" hidden="1" x14ac:dyDescent="0.35">
      <c r="A1784" t="s">
        <v>15</v>
      </c>
      <c r="B1784" t="s">
        <v>76</v>
      </c>
      <c r="C1784" t="s">
        <v>58</v>
      </c>
      <c r="D1784">
        <v>2022</v>
      </c>
      <c r="E1784" t="s">
        <v>98</v>
      </c>
      <c r="F1784">
        <v>51</v>
      </c>
      <c r="G1784" t="s">
        <v>145</v>
      </c>
    </row>
    <row r="1785" spans="1:7" hidden="1" x14ac:dyDescent="0.35">
      <c r="A1785" t="s">
        <v>15</v>
      </c>
      <c r="B1785" t="s">
        <v>76</v>
      </c>
      <c r="C1785" t="s">
        <v>58</v>
      </c>
      <c r="D1785">
        <v>2023</v>
      </c>
      <c r="E1785" t="s">
        <v>62</v>
      </c>
      <c r="F1785">
        <v>97</v>
      </c>
      <c r="G1785" t="s">
        <v>145</v>
      </c>
    </row>
    <row r="1786" spans="1:7" hidden="1" x14ac:dyDescent="0.35">
      <c r="A1786" t="s">
        <v>15</v>
      </c>
      <c r="B1786" t="s">
        <v>76</v>
      </c>
      <c r="C1786" t="s">
        <v>58</v>
      </c>
      <c r="D1786">
        <v>2023</v>
      </c>
      <c r="E1786" t="s">
        <v>98</v>
      </c>
      <c r="F1786">
        <v>98</v>
      </c>
      <c r="G1786" t="s">
        <v>145</v>
      </c>
    </row>
    <row r="1787" spans="1:7" hidden="1" x14ac:dyDescent="0.35">
      <c r="A1787" t="s">
        <v>15</v>
      </c>
      <c r="B1787" t="s">
        <v>76</v>
      </c>
      <c r="C1787" t="s">
        <v>58</v>
      </c>
      <c r="D1787">
        <v>2024</v>
      </c>
      <c r="E1787" t="s">
        <v>62</v>
      </c>
      <c r="F1787">
        <v>53</v>
      </c>
      <c r="G1787" t="s">
        <v>145</v>
      </c>
    </row>
    <row r="1788" spans="1:7" hidden="1" x14ac:dyDescent="0.35">
      <c r="A1788" t="s">
        <v>15</v>
      </c>
      <c r="B1788" t="s">
        <v>76</v>
      </c>
      <c r="C1788" t="s">
        <v>58</v>
      </c>
      <c r="D1788">
        <v>2024</v>
      </c>
      <c r="E1788" t="s">
        <v>98</v>
      </c>
      <c r="F1788">
        <v>61</v>
      </c>
      <c r="G1788" t="s">
        <v>145</v>
      </c>
    </row>
    <row r="1789" spans="1:7" hidden="1" x14ac:dyDescent="0.35">
      <c r="A1789" t="s">
        <v>15</v>
      </c>
      <c r="B1789" t="s">
        <v>76</v>
      </c>
      <c r="C1789" t="s">
        <v>58</v>
      </c>
      <c r="D1789">
        <v>2025</v>
      </c>
      <c r="E1789" t="s">
        <v>62</v>
      </c>
      <c r="F1789">
        <v>50</v>
      </c>
      <c r="G1789" t="s">
        <v>145</v>
      </c>
    </row>
    <row r="1790" spans="1:7" hidden="1" x14ac:dyDescent="0.35">
      <c r="A1790" t="s">
        <v>15</v>
      </c>
      <c r="B1790" t="s">
        <v>76</v>
      </c>
      <c r="C1790" t="s">
        <v>58</v>
      </c>
      <c r="D1790">
        <v>2025</v>
      </c>
      <c r="E1790" t="s">
        <v>98</v>
      </c>
      <c r="F1790">
        <v>1713</v>
      </c>
      <c r="G1790" t="s">
        <v>145</v>
      </c>
    </row>
    <row r="1791" spans="1:7" hidden="1" x14ac:dyDescent="0.35">
      <c r="A1791" t="s">
        <v>15</v>
      </c>
      <c r="B1791" t="s">
        <v>76</v>
      </c>
      <c r="C1791" t="s">
        <v>59</v>
      </c>
      <c r="D1791">
        <v>2022</v>
      </c>
      <c r="E1791" t="s">
        <v>62</v>
      </c>
      <c r="F1791">
        <v>602</v>
      </c>
      <c r="G1791" t="s">
        <v>145</v>
      </c>
    </row>
    <row r="1792" spans="1:7" hidden="1" x14ac:dyDescent="0.35">
      <c r="A1792" t="s">
        <v>15</v>
      </c>
      <c r="B1792" t="s">
        <v>76</v>
      </c>
      <c r="C1792" t="s">
        <v>59</v>
      </c>
      <c r="D1792">
        <v>2022</v>
      </c>
      <c r="E1792" t="s">
        <v>98</v>
      </c>
      <c r="F1792">
        <v>820</v>
      </c>
      <c r="G1792" t="s">
        <v>145</v>
      </c>
    </row>
    <row r="1793" spans="1:7" hidden="1" x14ac:dyDescent="0.35">
      <c r="A1793" t="s">
        <v>15</v>
      </c>
      <c r="B1793" t="s">
        <v>76</v>
      </c>
      <c r="C1793" t="s">
        <v>59</v>
      </c>
      <c r="D1793">
        <v>2023</v>
      </c>
      <c r="E1793" t="s">
        <v>62</v>
      </c>
      <c r="F1793">
        <v>747</v>
      </c>
      <c r="G1793" t="s">
        <v>145</v>
      </c>
    </row>
    <row r="1794" spans="1:7" hidden="1" x14ac:dyDescent="0.35">
      <c r="A1794" t="s">
        <v>15</v>
      </c>
      <c r="B1794" t="s">
        <v>76</v>
      </c>
      <c r="C1794" t="s">
        <v>59</v>
      </c>
      <c r="D1794">
        <v>2023</v>
      </c>
      <c r="E1794" t="s">
        <v>98</v>
      </c>
      <c r="F1794">
        <v>745</v>
      </c>
      <c r="G1794" t="s">
        <v>145</v>
      </c>
    </row>
    <row r="1795" spans="1:7" hidden="1" x14ac:dyDescent="0.35">
      <c r="A1795" t="s">
        <v>15</v>
      </c>
      <c r="B1795" t="s">
        <v>76</v>
      </c>
      <c r="C1795" t="s">
        <v>59</v>
      </c>
      <c r="D1795">
        <v>2024</v>
      </c>
      <c r="E1795" t="s">
        <v>62</v>
      </c>
      <c r="F1795">
        <v>756</v>
      </c>
      <c r="G1795" t="s">
        <v>145</v>
      </c>
    </row>
    <row r="1796" spans="1:7" hidden="1" x14ac:dyDescent="0.35">
      <c r="A1796" t="s">
        <v>15</v>
      </c>
      <c r="B1796" t="s">
        <v>76</v>
      </c>
      <c r="C1796" t="s">
        <v>59</v>
      </c>
      <c r="D1796">
        <v>2024</v>
      </c>
      <c r="E1796" t="s">
        <v>98</v>
      </c>
      <c r="F1796">
        <v>826</v>
      </c>
      <c r="G1796" t="s">
        <v>145</v>
      </c>
    </row>
    <row r="1797" spans="1:7" hidden="1" x14ac:dyDescent="0.35">
      <c r="A1797" t="s">
        <v>15</v>
      </c>
      <c r="B1797" t="s">
        <v>76</v>
      </c>
      <c r="C1797" t="s">
        <v>59</v>
      </c>
      <c r="D1797">
        <v>2025</v>
      </c>
      <c r="E1797" t="s">
        <v>62</v>
      </c>
      <c r="F1797">
        <v>830</v>
      </c>
      <c r="G1797" t="s">
        <v>145</v>
      </c>
    </row>
    <row r="1798" spans="1:7" hidden="1" x14ac:dyDescent="0.35">
      <c r="A1798" t="s">
        <v>15</v>
      </c>
      <c r="B1798" t="s">
        <v>76</v>
      </c>
      <c r="C1798" t="s">
        <v>59</v>
      </c>
      <c r="D1798">
        <v>2025</v>
      </c>
      <c r="E1798" t="s">
        <v>98</v>
      </c>
      <c r="F1798">
        <v>930</v>
      </c>
      <c r="G1798" t="s">
        <v>145</v>
      </c>
    </row>
    <row r="1799" spans="1:7" hidden="1" x14ac:dyDescent="0.35">
      <c r="A1799" t="s">
        <v>16</v>
      </c>
      <c r="B1799" t="s">
        <v>77</v>
      </c>
      <c r="C1799" t="s">
        <v>57</v>
      </c>
      <c r="D1799">
        <v>2022</v>
      </c>
      <c r="E1799" t="s">
        <v>62</v>
      </c>
      <c r="F1799">
        <v>870</v>
      </c>
      <c r="G1799" t="s">
        <v>145</v>
      </c>
    </row>
    <row r="1800" spans="1:7" hidden="1" x14ac:dyDescent="0.35">
      <c r="A1800" t="s">
        <v>16</v>
      </c>
      <c r="B1800" t="s">
        <v>77</v>
      </c>
      <c r="C1800" t="s">
        <v>57</v>
      </c>
      <c r="D1800">
        <v>2022</v>
      </c>
      <c r="E1800" t="s">
        <v>98</v>
      </c>
      <c r="F1800">
        <v>844</v>
      </c>
      <c r="G1800" t="s">
        <v>145</v>
      </c>
    </row>
    <row r="1801" spans="1:7" hidden="1" x14ac:dyDescent="0.35">
      <c r="A1801" t="s">
        <v>16</v>
      </c>
      <c r="B1801" t="s">
        <v>77</v>
      </c>
      <c r="C1801" t="s">
        <v>57</v>
      </c>
      <c r="D1801">
        <v>2023</v>
      </c>
      <c r="E1801" t="s">
        <v>62</v>
      </c>
      <c r="F1801">
        <v>1035</v>
      </c>
      <c r="G1801" t="s">
        <v>145</v>
      </c>
    </row>
    <row r="1802" spans="1:7" hidden="1" x14ac:dyDescent="0.35">
      <c r="A1802" t="s">
        <v>16</v>
      </c>
      <c r="B1802" t="s">
        <v>77</v>
      </c>
      <c r="C1802" t="s">
        <v>57</v>
      </c>
      <c r="D1802">
        <v>2023</v>
      </c>
      <c r="E1802" t="s">
        <v>98</v>
      </c>
      <c r="F1802">
        <v>1285</v>
      </c>
      <c r="G1802" t="s">
        <v>145</v>
      </c>
    </row>
    <row r="1803" spans="1:7" hidden="1" x14ac:dyDescent="0.35">
      <c r="A1803" t="s">
        <v>16</v>
      </c>
      <c r="B1803" t="s">
        <v>77</v>
      </c>
      <c r="C1803" t="s">
        <v>57</v>
      </c>
      <c r="D1803">
        <v>2024</v>
      </c>
      <c r="E1803" t="s">
        <v>62</v>
      </c>
      <c r="F1803">
        <v>1452</v>
      </c>
      <c r="G1803" t="s">
        <v>145</v>
      </c>
    </row>
    <row r="1804" spans="1:7" hidden="1" x14ac:dyDescent="0.35">
      <c r="A1804" t="s">
        <v>16</v>
      </c>
      <c r="B1804" t="s">
        <v>77</v>
      </c>
      <c r="C1804" t="s">
        <v>57</v>
      </c>
      <c r="D1804">
        <v>2024</v>
      </c>
      <c r="E1804" t="s">
        <v>98</v>
      </c>
      <c r="F1804">
        <v>1221</v>
      </c>
      <c r="G1804" t="s">
        <v>145</v>
      </c>
    </row>
    <row r="1805" spans="1:7" hidden="1" x14ac:dyDescent="0.35">
      <c r="A1805" t="s">
        <v>16</v>
      </c>
      <c r="B1805" t="s">
        <v>77</v>
      </c>
      <c r="C1805" t="s">
        <v>57</v>
      </c>
      <c r="D1805">
        <v>2025</v>
      </c>
      <c r="E1805" t="s">
        <v>62</v>
      </c>
      <c r="F1805">
        <v>1523</v>
      </c>
      <c r="G1805" t="s">
        <v>145</v>
      </c>
    </row>
    <row r="1806" spans="1:7" hidden="1" x14ac:dyDescent="0.35">
      <c r="A1806" t="s">
        <v>16</v>
      </c>
      <c r="B1806" t="s">
        <v>77</v>
      </c>
      <c r="C1806" t="s">
        <v>57</v>
      </c>
      <c r="D1806">
        <v>2025</v>
      </c>
      <c r="E1806" t="s">
        <v>98</v>
      </c>
      <c r="F1806">
        <v>-1039</v>
      </c>
      <c r="G1806" t="s">
        <v>145</v>
      </c>
    </row>
    <row r="1807" spans="1:7" hidden="1" x14ac:dyDescent="0.35">
      <c r="A1807" t="s">
        <v>16</v>
      </c>
      <c r="B1807" t="s">
        <v>77</v>
      </c>
      <c r="C1807" t="s">
        <v>58</v>
      </c>
      <c r="D1807">
        <v>2022</v>
      </c>
      <c r="E1807" t="s">
        <v>62</v>
      </c>
      <c r="F1807">
        <v>10</v>
      </c>
      <c r="G1807" t="s">
        <v>145</v>
      </c>
    </row>
    <row r="1808" spans="1:7" hidden="1" x14ac:dyDescent="0.35">
      <c r="A1808" t="s">
        <v>16</v>
      </c>
      <c r="B1808" t="s">
        <v>77</v>
      </c>
      <c r="C1808" t="s">
        <v>58</v>
      </c>
      <c r="D1808">
        <v>2022</v>
      </c>
      <c r="E1808" t="s">
        <v>98</v>
      </c>
      <c r="F1808">
        <v>57</v>
      </c>
      <c r="G1808" t="s">
        <v>145</v>
      </c>
    </row>
    <row r="1809" spans="1:7" hidden="1" x14ac:dyDescent="0.35">
      <c r="A1809" t="s">
        <v>16</v>
      </c>
      <c r="B1809" t="s">
        <v>77</v>
      </c>
      <c r="C1809" t="s">
        <v>58</v>
      </c>
      <c r="D1809">
        <v>2023</v>
      </c>
      <c r="E1809" t="s">
        <v>62</v>
      </c>
      <c r="F1809">
        <v>25</v>
      </c>
      <c r="G1809" t="s">
        <v>145</v>
      </c>
    </row>
    <row r="1810" spans="1:7" hidden="1" x14ac:dyDescent="0.35">
      <c r="A1810" t="s">
        <v>16</v>
      </c>
      <c r="B1810" t="s">
        <v>77</v>
      </c>
      <c r="C1810" t="s">
        <v>58</v>
      </c>
      <c r="D1810">
        <v>2023</v>
      </c>
      <c r="E1810" t="s">
        <v>98</v>
      </c>
      <c r="F1810">
        <v>10</v>
      </c>
      <c r="G1810" t="s">
        <v>145</v>
      </c>
    </row>
    <row r="1811" spans="1:7" hidden="1" x14ac:dyDescent="0.35">
      <c r="A1811" t="s">
        <v>16</v>
      </c>
      <c r="B1811" t="s">
        <v>77</v>
      </c>
      <c r="C1811" t="s">
        <v>58</v>
      </c>
      <c r="D1811">
        <v>2024</v>
      </c>
      <c r="E1811" t="s">
        <v>62</v>
      </c>
      <c r="F1811">
        <v>38</v>
      </c>
      <c r="G1811" t="s">
        <v>145</v>
      </c>
    </row>
    <row r="1812" spans="1:7" hidden="1" x14ac:dyDescent="0.35">
      <c r="A1812" t="s">
        <v>16</v>
      </c>
      <c r="B1812" t="s">
        <v>77</v>
      </c>
      <c r="C1812" t="s">
        <v>58</v>
      </c>
      <c r="D1812">
        <v>2024</v>
      </c>
      <c r="E1812" t="s">
        <v>98</v>
      </c>
      <c r="F1812">
        <v>32</v>
      </c>
      <c r="G1812" t="s">
        <v>145</v>
      </c>
    </row>
    <row r="1813" spans="1:7" hidden="1" x14ac:dyDescent="0.35">
      <c r="A1813" t="s">
        <v>16</v>
      </c>
      <c r="B1813" t="s">
        <v>77</v>
      </c>
      <c r="C1813" t="s">
        <v>58</v>
      </c>
      <c r="D1813">
        <v>2025</v>
      </c>
      <c r="E1813" t="s">
        <v>62</v>
      </c>
      <c r="F1813">
        <v>37</v>
      </c>
      <c r="G1813" t="s">
        <v>145</v>
      </c>
    </row>
    <row r="1814" spans="1:7" hidden="1" x14ac:dyDescent="0.35">
      <c r="A1814" t="s">
        <v>16</v>
      </c>
      <c r="B1814" t="s">
        <v>77</v>
      </c>
      <c r="C1814" t="s">
        <v>58</v>
      </c>
      <c r="D1814">
        <v>2025</v>
      </c>
      <c r="E1814" t="s">
        <v>98</v>
      </c>
      <c r="F1814">
        <v>0</v>
      </c>
      <c r="G1814" t="s">
        <v>145</v>
      </c>
    </row>
    <row r="1815" spans="1:7" hidden="1" x14ac:dyDescent="0.35">
      <c r="A1815" t="s">
        <v>16</v>
      </c>
      <c r="B1815" t="s">
        <v>77</v>
      </c>
      <c r="C1815" t="s">
        <v>59</v>
      </c>
      <c r="D1815">
        <v>2022</v>
      </c>
      <c r="E1815" t="s">
        <v>62</v>
      </c>
      <c r="F1815">
        <v>527</v>
      </c>
      <c r="G1815" t="s">
        <v>145</v>
      </c>
    </row>
    <row r="1816" spans="1:7" hidden="1" x14ac:dyDescent="0.35">
      <c r="A1816" t="s">
        <v>16</v>
      </c>
      <c r="B1816" t="s">
        <v>77</v>
      </c>
      <c r="C1816" t="s">
        <v>59</v>
      </c>
      <c r="D1816">
        <v>2022</v>
      </c>
      <c r="E1816" t="s">
        <v>98</v>
      </c>
      <c r="F1816">
        <v>559</v>
      </c>
      <c r="G1816" t="s">
        <v>145</v>
      </c>
    </row>
    <row r="1817" spans="1:7" hidden="1" x14ac:dyDescent="0.35">
      <c r="A1817" t="s">
        <v>16</v>
      </c>
      <c r="B1817" t="s">
        <v>77</v>
      </c>
      <c r="C1817" t="s">
        <v>59</v>
      </c>
      <c r="D1817">
        <v>2023</v>
      </c>
      <c r="E1817" t="s">
        <v>62</v>
      </c>
      <c r="F1817">
        <v>514</v>
      </c>
      <c r="G1817" t="s">
        <v>145</v>
      </c>
    </row>
    <row r="1818" spans="1:7" hidden="1" x14ac:dyDescent="0.35">
      <c r="A1818" t="s">
        <v>16</v>
      </c>
      <c r="B1818" t="s">
        <v>77</v>
      </c>
      <c r="C1818" t="s">
        <v>59</v>
      </c>
      <c r="D1818">
        <v>2023</v>
      </c>
      <c r="E1818" t="s">
        <v>98</v>
      </c>
      <c r="F1818">
        <v>902</v>
      </c>
      <c r="G1818" t="s">
        <v>145</v>
      </c>
    </row>
    <row r="1819" spans="1:7" hidden="1" x14ac:dyDescent="0.35">
      <c r="A1819" t="s">
        <v>16</v>
      </c>
      <c r="B1819" t="s">
        <v>77</v>
      </c>
      <c r="C1819" t="s">
        <v>59</v>
      </c>
      <c r="D1819">
        <v>2024</v>
      </c>
      <c r="E1819" t="s">
        <v>62</v>
      </c>
      <c r="F1819">
        <v>849</v>
      </c>
      <c r="G1819" t="s">
        <v>145</v>
      </c>
    </row>
    <row r="1820" spans="1:7" hidden="1" x14ac:dyDescent="0.35">
      <c r="A1820" t="s">
        <v>16</v>
      </c>
      <c r="B1820" t="s">
        <v>77</v>
      </c>
      <c r="C1820" t="s">
        <v>59</v>
      </c>
      <c r="D1820">
        <v>2024</v>
      </c>
      <c r="E1820" t="s">
        <v>98</v>
      </c>
      <c r="F1820">
        <v>838</v>
      </c>
      <c r="G1820" t="s">
        <v>145</v>
      </c>
    </row>
    <row r="1821" spans="1:7" hidden="1" x14ac:dyDescent="0.35">
      <c r="A1821" t="s">
        <v>16</v>
      </c>
      <c r="B1821" t="s">
        <v>77</v>
      </c>
      <c r="C1821" t="s">
        <v>59</v>
      </c>
      <c r="D1821">
        <v>2025</v>
      </c>
      <c r="E1821" t="s">
        <v>62</v>
      </c>
      <c r="F1821">
        <v>789</v>
      </c>
      <c r="G1821" t="s">
        <v>145</v>
      </c>
    </row>
    <row r="1822" spans="1:7" hidden="1" x14ac:dyDescent="0.35">
      <c r="A1822" t="s">
        <v>16</v>
      </c>
      <c r="B1822" t="s">
        <v>77</v>
      </c>
      <c r="C1822" t="s">
        <v>59</v>
      </c>
      <c r="D1822">
        <v>2025</v>
      </c>
      <c r="E1822" t="s">
        <v>98</v>
      </c>
      <c r="F1822">
        <v>1343</v>
      </c>
      <c r="G1822" t="s">
        <v>145</v>
      </c>
    </row>
    <row r="1823" spans="1:7" hidden="1" x14ac:dyDescent="0.35">
      <c r="A1823" t="s">
        <v>17</v>
      </c>
      <c r="B1823" t="s">
        <v>78</v>
      </c>
      <c r="C1823" t="s">
        <v>57</v>
      </c>
      <c r="D1823">
        <v>2022</v>
      </c>
      <c r="E1823" t="s">
        <v>62</v>
      </c>
      <c r="F1823">
        <v>4004</v>
      </c>
      <c r="G1823" t="s">
        <v>145</v>
      </c>
    </row>
    <row r="1824" spans="1:7" hidden="1" x14ac:dyDescent="0.35">
      <c r="A1824" t="s">
        <v>17</v>
      </c>
      <c r="B1824" t="s">
        <v>78</v>
      </c>
      <c r="C1824" t="s">
        <v>57</v>
      </c>
      <c r="D1824">
        <v>2022</v>
      </c>
      <c r="E1824" t="s">
        <v>98</v>
      </c>
      <c r="F1824">
        <v>3980</v>
      </c>
      <c r="G1824" t="s">
        <v>145</v>
      </c>
    </row>
    <row r="1825" spans="1:7" hidden="1" x14ac:dyDescent="0.35">
      <c r="A1825" t="s">
        <v>17</v>
      </c>
      <c r="B1825" t="s">
        <v>78</v>
      </c>
      <c r="C1825" t="s">
        <v>57</v>
      </c>
      <c r="D1825">
        <v>2023</v>
      </c>
      <c r="E1825" t="s">
        <v>62</v>
      </c>
      <c r="F1825">
        <v>4130</v>
      </c>
      <c r="G1825" t="s">
        <v>145</v>
      </c>
    </row>
    <row r="1826" spans="1:7" hidden="1" x14ac:dyDescent="0.35">
      <c r="A1826" t="s">
        <v>17</v>
      </c>
      <c r="B1826" t="s">
        <v>78</v>
      </c>
      <c r="C1826" t="s">
        <v>57</v>
      </c>
      <c r="D1826">
        <v>2023</v>
      </c>
      <c r="E1826" t="s">
        <v>98</v>
      </c>
      <c r="F1826">
        <v>4082</v>
      </c>
      <c r="G1826" t="s">
        <v>145</v>
      </c>
    </row>
    <row r="1827" spans="1:7" hidden="1" x14ac:dyDescent="0.35">
      <c r="A1827" t="s">
        <v>17</v>
      </c>
      <c r="B1827" t="s">
        <v>78</v>
      </c>
      <c r="C1827" t="s">
        <v>57</v>
      </c>
      <c r="D1827">
        <v>2024</v>
      </c>
      <c r="E1827" t="s">
        <v>62</v>
      </c>
      <c r="F1827">
        <v>3691</v>
      </c>
      <c r="G1827" t="s">
        <v>145</v>
      </c>
    </row>
    <row r="1828" spans="1:7" hidden="1" x14ac:dyDescent="0.35">
      <c r="A1828" t="s">
        <v>17</v>
      </c>
      <c r="B1828" t="s">
        <v>78</v>
      </c>
      <c r="C1828" t="s">
        <v>57</v>
      </c>
      <c r="D1828">
        <v>2024</v>
      </c>
      <c r="E1828" t="s">
        <v>98</v>
      </c>
      <c r="F1828">
        <v>4464</v>
      </c>
      <c r="G1828" t="s">
        <v>145</v>
      </c>
    </row>
    <row r="1829" spans="1:7" hidden="1" x14ac:dyDescent="0.35">
      <c r="A1829" t="s">
        <v>17</v>
      </c>
      <c r="B1829" t="s">
        <v>78</v>
      </c>
      <c r="C1829" t="s">
        <v>57</v>
      </c>
      <c r="D1829">
        <v>2025</v>
      </c>
      <c r="E1829" t="s">
        <v>62</v>
      </c>
      <c r="F1829">
        <v>4159</v>
      </c>
      <c r="G1829" t="s">
        <v>145</v>
      </c>
    </row>
    <row r="1830" spans="1:7" hidden="1" x14ac:dyDescent="0.35">
      <c r="A1830" t="s">
        <v>17</v>
      </c>
      <c r="B1830" t="s">
        <v>78</v>
      </c>
      <c r="C1830" t="s">
        <v>57</v>
      </c>
      <c r="D1830">
        <v>2025</v>
      </c>
      <c r="E1830" t="s">
        <v>98</v>
      </c>
      <c r="F1830">
        <v>373</v>
      </c>
      <c r="G1830" t="s">
        <v>145</v>
      </c>
    </row>
    <row r="1831" spans="1:7" hidden="1" x14ac:dyDescent="0.35">
      <c r="A1831" t="s">
        <v>17</v>
      </c>
      <c r="B1831" t="s">
        <v>78</v>
      </c>
      <c r="C1831" t="s">
        <v>59</v>
      </c>
      <c r="D1831">
        <v>2022</v>
      </c>
      <c r="E1831" t="s">
        <v>62</v>
      </c>
      <c r="F1831">
        <v>1078</v>
      </c>
      <c r="G1831" t="s">
        <v>145</v>
      </c>
    </row>
    <row r="1832" spans="1:7" hidden="1" x14ac:dyDescent="0.35">
      <c r="A1832" t="s">
        <v>17</v>
      </c>
      <c r="B1832" t="s">
        <v>78</v>
      </c>
      <c r="C1832" t="s">
        <v>59</v>
      </c>
      <c r="D1832">
        <v>2022</v>
      </c>
      <c r="E1832" t="s">
        <v>98</v>
      </c>
      <c r="F1832">
        <v>844</v>
      </c>
      <c r="G1832" t="s">
        <v>145</v>
      </c>
    </row>
    <row r="1833" spans="1:7" hidden="1" x14ac:dyDescent="0.35">
      <c r="A1833" t="s">
        <v>17</v>
      </c>
      <c r="B1833" t="s">
        <v>78</v>
      </c>
      <c r="C1833" t="s">
        <v>59</v>
      </c>
      <c r="D1833">
        <v>2023</v>
      </c>
      <c r="E1833" t="s">
        <v>62</v>
      </c>
      <c r="F1833">
        <v>1169</v>
      </c>
      <c r="G1833" t="s">
        <v>145</v>
      </c>
    </row>
    <row r="1834" spans="1:7" hidden="1" x14ac:dyDescent="0.35">
      <c r="A1834" t="s">
        <v>17</v>
      </c>
      <c r="B1834" t="s">
        <v>78</v>
      </c>
      <c r="C1834" t="s">
        <v>59</v>
      </c>
      <c r="D1834">
        <v>2023</v>
      </c>
      <c r="E1834" t="s">
        <v>98</v>
      </c>
      <c r="F1834">
        <v>1016</v>
      </c>
      <c r="G1834" t="s">
        <v>145</v>
      </c>
    </row>
    <row r="1835" spans="1:7" hidden="1" x14ac:dyDescent="0.35">
      <c r="A1835" t="s">
        <v>17</v>
      </c>
      <c r="B1835" t="s">
        <v>78</v>
      </c>
      <c r="C1835" t="s">
        <v>59</v>
      </c>
      <c r="D1835">
        <v>2024</v>
      </c>
      <c r="E1835" t="s">
        <v>62</v>
      </c>
      <c r="F1835">
        <v>974</v>
      </c>
      <c r="G1835" t="s">
        <v>145</v>
      </c>
    </row>
    <row r="1836" spans="1:7" hidden="1" x14ac:dyDescent="0.35">
      <c r="A1836" t="s">
        <v>17</v>
      </c>
      <c r="B1836" t="s">
        <v>78</v>
      </c>
      <c r="C1836" t="s">
        <v>59</v>
      </c>
      <c r="D1836">
        <v>2024</v>
      </c>
      <c r="E1836" t="s">
        <v>98</v>
      </c>
      <c r="F1836">
        <v>1002</v>
      </c>
      <c r="G1836" t="s">
        <v>145</v>
      </c>
    </row>
    <row r="1837" spans="1:7" hidden="1" x14ac:dyDescent="0.35">
      <c r="A1837" t="s">
        <v>17</v>
      </c>
      <c r="B1837" t="s">
        <v>78</v>
      </c>
      <c r="C1837" t="s">
        <v>59</v>
      </c>
      <c r="D1837">
        <v>2025</v>
      </c>
      <c r="E1837" t="s">
        <v>62</v>
      </c>
      <c r="F1837">
        <v>1556</v>
      </c>
      <c r="G1837" t="s">
        <v>145</v>
      </c>
    </row>
    <row r="1838" spans="1:7" hidden="1" x14ac:dyDescent="0.35">
      <c r="A1838" t="s">
        <v>17</v>
      </c>
      <c r="B1838" t="s">
        <v>78</v>
      </c>
      <c r="C1838" t="s">
        <v>59</v>
      </c>
      <c r="D1838">
        <v>2025</v>
      </c>
      <c r="E1838" t="s">
        <v>98</v>
      </c>
      <c r="F1838">
        <v>1640</v>
      </c>
      <c r="G1838" t="s">
        <v>145</v>
      </c>
    </row>
    <row r="1839" spans="1:7" hidden="1" x14ac:dyDescent="0.35">
      <c r="A1839" t="s">
        <v>18</v>
      </c>
      <c r="B1839" t="s">
        <v>79</v>
      </c>
      <c r="C1839" t="s">
        <v>57</v>
      </c>
      <c r="D1839">
        <v>2022</v>
      </c>
      <c r="E1839" t="s">
        <v>62</v>
      </c>
      <c r="F1839">
        <v>2452</v>
      </c>
      <c r="G1839" t="s">
        <v>145</v>
      </c>
    </row>
    <row r="1840" spans="1:7" hidden="1" x14ac:dyDescent="0.35">
      <c r="A1840" t="s">
        <v>18</v>
      </c>
      <c r="B1840" t="s">
        <v>79</v>
      </c>
      <c r="C1840" t="s">
        <v>57</v>
      </c>
      <c r="D1840">
        <v>2022</v>
      </c>
      <c r="E1840" t="s">
        <v>98</v>
      </c>
      <c r="F1840">
        <v>2436</v>
      </c>
      <c r="G1840" t="s">
        <v>145</v>
      </c>
    </row>
    <row r="1841" spans="1:7" hidden="1" x14ac:dyDescent="0.35">
      <c r="A1841" t="s">
        <v>18</v>
      </c>
      <c r="B1841" t="s">
        <v>79</v>
      </c>
      <c r="C1841" t="s">
        <v>57</v>
      </c>
      <c r="D1841">
        <v>2023</v>
      </c>
      <c r="E1841" t="s">
        <v>62</v>
      </c>
      <c r="F1841">
        <v>2543</v>
      </c>
      <c r="G1841" t="s">
        <v>145</v>
      </c>
    </row>
    <row r="1842" spans="1:7" hidden="1" x14ac:dyDescent="0.35">
      <c r="A1842" t="s">
        <v>18</v>
      </c>
      <c r="B1842" t="s">
        <v>79</v>
      </c>
      <c r="C1842" t="s">
        <v>57</v>
      </c>
      <c r="D1842">
        <v>2023</v>
      </c>
      <c r="E1842" t="s">
        <v>98</v>
      </c>
      <c r="F1842">
        <v>2452</v>
      </c>
      <c r="G1842" t="s">
        <v>145</v>
      </c>
    </row>
    <row r="1843" spans="1:7" hidden="1" x14ac:dyDescent="0.35">
      <c r="A1843" t="s">
        <v>18</v>
      </c>
      <c r="B1843" t="s">
        <v>79</v>
      </c>
      <c r="C1843" t="s">
        <v>57</v>
      </c>
      <c r="D1843">
        <v>2024</v>
      </c>
      <c r="E1843" t="s">
        <v>62</v>
      </c>
      <c r="F1843">
        <v>2437</v>
      </c>
      <c r="G1843" t="s">
        <v>145</v>
      </c>
    </row>
    <row r="1844" spans="1:7" hidden="1" x14ac:dyDescent="0.35">
      <c r="A1844" t="s">
        <v>18</v>
      </c>
      <c r="B1844" t="s">
        <v>79</v>
      </c>
      <c r="C1844" t="s">
        <v>57</v>
      </c>
      <c r="D1844">
        <v>2024</v>
      </c>
      <c r="E1844" t="s">
        <v>98</v>
      </c>
      <c r="F1844">
        <v>3057</v>
      </c>
      <c r="G1844" t="s">
        <v>145</v>
      </c>
    </row>
    <row r="1845" spans="1:7" hidden="1" x14ac:dyDescent="0.35">
      <c r="A1845" t="s">
        <v>18</v>
      </c>
      <c r="B1845" t="s">
        <v>79</v>
      </c>
      <c r="C1845" t="s">
        <v>57</v>
      </c>
      <c r="D1845">
        <v>2025</v>
      </c>
      <c r="E1845" t="s">
        <v>62</v>
      </c>
      <c r="F1845">
        <v>3054</v>
      </c>
      <c r="G1845" t="s">
        <v>145</v>
      </c>
    </row>
    <row r="1846" spans="1:7" hidden="1" x14ac:dyDescent="0.35">
      <c r="A1846" t="s">
        <v>18</v>
      </c>
      <c r="B1846" t="s">
        <v>79</v>
      </c>
      <c r="C1846" t="s">
        <v>57</v>
      </c>
      <c r="D1846">
        <v>2025</v>
      </c>
      <c r="E1846" t="s">
        <v>98</v>
      </c>
      <c r="F1846">
        <v>4721</v>
      </c>
      <c r="G1846" t="s">
        <v>145</v>
      </c>
    </row>
    <row r="1847" spans="1:7" hidden="1" x14ac:dyDescent="0.35">
      <c r="A1847" t="s">
        <v>18</v>
      </c>
      <c r="B1847" t="s">
        <v>79</v>
      </c>
      <c r="C1847" t="s">
        <v>58</v>
      </c>
      <c r="D1847">
        <v>2022</v>
      </c>
      <c r="E1847" t="s">
        <v>62</v>
      </c>
      <c r="F1847">
        <v>22</v>
      </c>
      <c r="G1847" t="s">
        <v>145</v>
      </c>
    </row>
    <row r="1848" spans="1:7" hidden="1" x14ac:dyDescent="0.35">
      <c r="A1848" t="s">
        <v>18</v>
      </c>
      <c r="B1848" t="s">
        <v>79</v>
      </c>
      <c r="C1848" t="s">
        <v>58</v>
      </c>
      <c r="D1848">
        <v>2022</v>
      </c>
      <c r="E1848" t="s">
        <v>98</v>
      </c>
      <c r="F1848">
        <v>120</v>
      </c>
      <c r="G1848" t="s">
        <v>145</v>
      </c>
    </row>
    <row r="1849" spans="1:7" hidden="1" x14ac:dyDescent="0.35">
      <c r="A1849" t="s">
        <v>18</v>
      </c>
      <c r="B1849" t="s">
        <v>79</v>
      </c>
      <c r="C1849" t="s">
        <v>58</v>
      </c>
      <c r="D1849">
        <v>2023</v>
      </c>
      <c r="E1849" t="s">
        <v>62</v>
      </c>
      <c r="F1849">
        <v>73</v>
      </c>
      <c r="G1849" t="s">
        <v>145</v>
      </c>
    </row>
    <row r="1850" spans="1:7" hidden="1" x14ac:dyDescent="0.35">
      <c r="A1850" t="s">
        <v>18</v>
      </c>
      <c r="B1850" t="s">
        <v>79</v>
      </c>
      <c r="C1850" t="s">
        <v>58</v>
      </c>
      <c r="D1850">
        <v>2023</v>
      </c>
      <c r="E1850" t="s">
        <v>98</v>
      </c>
      <c r="F1850">
        <v>146</v>
      </c>
      <c r="G1850" t="s">
        <v>145</v>
      </c>
    </row>
    <row r="1851" spans="1:7" hidden="1" x14ac:dyDescent="0.35">
      <c r="A1851" t="s">
        <v>18</v>
      </c>
      <c r="B1851" t="s">
        <v>79</v>
      </c>
      <c r="C1851" t="s">
        <v>58</v>
      </c>
      <c r="D1851">
        <v>2024</v>
      </c>
      <c r="E1851" t="s">
        <v>62</v>
      </c>
      <c r="F1851">
        <v>74</v>
      </c>
      <c r="G1851" t="s">
        <v>145</v>
      </c>
    </row>
    <row r="1852" spans="1:7" hidden="1" x14ac:dyDescent="0.35">
      <c r="A1852" t="s">
        <v>18</v>
      </c>
      <c r="B1852" t="s">
        <v>79</v>
      </c>
      <c r="C1852" t="s">
        <v>58</v>
      </c>
      <c r="D1852">
        <v>2024</v>
      </c>
      <c r="E1852" t="s">
        <v>98</v>
      </c>
      <c r="F1852">
        <v>123</v>
      </c>
      <c r="G1852" t="s">
        <v>145</v>
      </c>
    </row>
    <row r="1853" spans="1:7" hidden="1" x14ac:dyDescent="0.35">
      <c r="A1853" t="s">
        <v>18</v>
      </c>
      <c r="B1853" t="s">
        <v>79</v>
      </c>
      <c r="C1853" t="s">
        <v>58</v>
      </c>
      <c r="D1853">
        <v>2025</v>
      </c>
      <c r="E1853" t="s">
        <v>62</v>
      </c>
      <c r="F1853">
        <v>100</v>
      </c>
      <c r="G1853" t="s">
        <v>145</v>
      </c>
    </row>
    <row r="1854" spans="1:7" hidden="1" x14ac:dyDescent="0.35">
      <c r="A1854" t="s">
        <v>18</v>
      </c>
      <c r="B1854" t="s">
        <v>79</v>
      </c>
      <c r="C1854" t="s">
        <v>58</v>
      </c>
      <c r="D1854">
        <v>2025</v>
      </c>
      <c r="E1854" t="s">
        <v>98</v>
      </c>
      <c r="F1854">
        <v>8038</v>
      </c>
      <c r="G1854" t="s">
        <v>145</v>
      </c>
    </row>
    <row r="1855" spans="1:7" hidden="1" x14ac:dyDescent="0.35">
      <c r="A1855" t="s">
        <v>18</v>
      </c>
      <c r="B1855" t="s">
        <v>79</v>
      </c>
      <c r="C1855" t="s">
        <v>59</v>
      </c>
      <c r="D1855">
        <v>2022</v>
      </c>
      <c r="E1855" t="s">
        <v>62</v>
      </c>
      <c r="F1855">
        <v>1107</v>
      </c>
      <c r="G1855" t="s">
        <v>145</v>
      </c>
    </row>
    <row r="1856" spans="1:7" hidden="1" x14ac:dyDescent="0.35">
      <c r="A1856" t="s">
        <v>18</v>
      </c>
      <c r="B1856" t="s">
        <v>79</v>
      </c>
      <c r="C1856" t="s">
        <v>59</v>
      </c>
      <c r="D1856">
        <v>2022</v>
      </c>
      <c r="E1856" t="s">
        <v>98</v>
      </c>
      <c r="F1856">
        <v>1240</v>
      </c>
      <c r="G1856" t="s">
        <v>145</v>
      </c>
    </row>
    <row r="1857" spans="1:7" hidden="1" x14ac:dyDescent="0.35">
      <c r="A1857" t="s">
        <v>18</v>
      </c>
      <c r="B1857" t="s">
        <v>79</v>
      </c>
      <c r="C1857" t="s">
        <v>59</v>
      </c>
      <c r="D1857">
        <v>2023</v>
      </c>
      <c r="E1857" t="s">
        <v>62</v>
      </c>
      <c r="F1857">
        <v>1200</v>
      </c>
      <c r="G1857" t="s">
        <v>145</v>
      </c>
    </row>
    <row r="1858" spans="1:7" hidden="1" x14ac:dyDescent="0.35">
      <c r="A1858" t="s">
        <v>18</v>
      </c>
      <c r="B1858" t="s">
        <v>79</v>
      </c>
      <c r="C1858" t="s">
        <v>59</v>
      </c>
      <c r="D1858">
        <v>2023</v>
      </c>
      <c r="E1858" t="s">
        <v>98</v>
      </c>
      <c r="F1858">
        <v>1326</v>
      </c>
      <c r="G1858" t="s">
        <v>145</v>
      </c>
    </row>
    <row r="1859" spans="1:7" hidden="1" x14ac:dyDescent="0.35">
      <c r="A1859" t="s">
        <v>18</v>
      </c>
      <c r="B1859" t="s">
        <v>79</v>
      </c>
      <c r="C1859" t="s">
        <v>59</v>
      </c>
      <c r="D1859">
        <v>2024</v>
      </c>
      <c r="E1859" t="s">
        <v>62</v>
      </c>
      <c r="F1859">
        <v>1188</v>
      </c>
      <c r="G1859" t="s">
        <v>145</v>
      </c>
    </row>
    <row r="1860" spans="1:7" hidden="1" x14ac:dyDescent="0.35">
      <c r="A1860" t="s">
        <v>18</v>
      </c>
      <c r="B1860" t="s">
        <v>79</v>
      </c>
      <c r="C1860" t="s">
        <v>59</v>
      </c>
      <c r="D1860">
        <v>2024</v>
      </c>
      <c r="E1860" t="s">
        <v>98</v>
      </c>
      <c r="F1860">
        <v>1692</v>
      </c>
      <c r="G1860" t="s">
        <v>145</v>
      </c>
    </row>
    <row r="1861" spans="1:7" hidden="1" x14ac:dyDescent="0.35">
      <c r="A1861" t="s">
        <v>18</v>
      </c>
      <c r="B1861" t="s">
        <v>79</v>
      </c>
      <c r="C1861" t="s">
        <v>59</v>
      </c>
      <c r="D1861">
        <v>2025</v>
      </c>
      <c r="E1861" t="s">
        <v>62</v>
      </c>
      <c r="F1861">
        <v>1503</v>
      </c>
      <c r="G1861" t="s">
        <v>145</v>
      </c>
    </row>
    <row r="1862" spans="1:7" hidden="1" x14ac:dyDescent="0.35">
      <c r="A1862" t="s">
        <v>18</v>
      </c>
      <c r="B1862" t="s">
        <v>79</v>
      </c>
      <c r="C1862" t="s">
        <v>59</v>
      </c>
      <c r="D1862">
        <v>2025</v>
      </c>
      <c r="E1862" t="s">
        <v>98</v>
      </c>
      <c r="F1862">
        <v>1854</v>
      </c>
      <c r="G1862" t="s">
        <v>145</v>
      </c>
    </row>
    <row r="1863" spans="1:7" hidden="1" x14ac:dyDescent="0.35">
      <c r="A1863" t="s">
        <v>19</v>
      </c>
      <c r="B1863" t="s">
        <v>80</v>
      </c>
      <c r="C1863" t="s">
        <v>57</v>
      </c>
      <c r="D1863">
        <v>2022</v>
      </c>
      <c r="E1863" t="s">
        <v>62</v>
      </c>
      <c r="F1863">
        <v>2250</v>
      </c>
      <c r="G1863" t="s">
        <v>145</v>
      </c>
    </row>
    <row r="1864" spans="1:7" hidden="1" x14ac:dyDescent="0.35">
      <c r="A1864" t="s">
        <v>19</v>
      </c>
      <c r="B1864" t="s">
        <v>80</v>
      </c>
      <c r="C1864" t="s">
        <v>57</v>
      </c>
      <c r="D1864">
        <v>2022</v>
      </c>
      <c r="E1864" t="s">
        <v>98</v>
      </c>
      <c r="F1864">
        <v>2812</v>
      </c>
      <c r="G1864" t="s">
        <v>145</v>
      </c>
    </row>
    <row r="1865" spans="1:7" hidden="1" x14ac:dyDescent="0.35">
      <c r="A1865" t="s">
        <v>19</v>
      </c>
      <c r="B1865" t="s">
        <v>80</v>
      </c>
      <c r="C1865" t="s">
        <v>57</v>
      </c>
      <c r="D1865">
        <v>2023</v>
      </c>
      <c r="E1865" t="s">
        <v>62</v>
      </c>
      <c r="F1865">
        <v>2913</v>
      </c>
      <c r="G1865" t="s">
        <v>145</v>
      </c>
    </row>
    <row r="1866" spans="1:7" hidden="1" x14ac:dyDescent="0.35">
      <c r="A1866" t="s">
        <v>19</v>
      </c>
      <c r="B1866" t="s">
        <v>80</v>
      </c>
      <c r="C1866" t="s">
        <v>57</v>
      </c>
      <c r="D1866">
        <v>2023</v>
      </c>
      <c r="E1866" t="s">
        <v>98</v>
      </c>
      <c r="F1866">
        <v>4192</v>
      </c>
      <c r="G1866" t="s">
        <v>145</v>
      </c>
    </row>
    <row r="1867" spans="1:7" hidden="1" x14ac:dyDescent="0.35">
      <c r="A1867" t="s">
        <v>19</v>
      </c>
      <c r="B1867" t="s">
        <v>80</v>
      </c>
      <c r="C1867" t="s">
        <v>57</v>
      </c>
      <c r="D1867">
        <v>2024</v>
      </c>
      <c r="E1867" t="s">
        <v>62</v>
      </c>
      <c r="F1867">
        <v>3786</v>
      </c>
      <c r="G1867" t="s">
        <v>145</v>
      </c>
    </row>
    <row r="1868" spans="1:7" hidden="1" x14ac:dyDescent="0.35">
      <c r="A1868" t="s">
        <v>19</v>
      </c>
      <c r="B1868" t="s">
        <v>80</v>
      </c>
      <c r="C1868" t="s">
        <v>57</v>
      </c>
      <c r="D1868">
        <v>2024</v>
      </c>
      <c r="E1868" t="s">
        <v>98</v>
      </c>
      <c r="F1868">
        <v>4261</v>
      </c>
      <c r="G1868" t="s">
        <v>145</v>
      </c>
    </row>
    <row r="1869" spans="1:7" hidden="1" x14ac:dyDescent="0.35">
      <c r="A1869" t="s">
        <v>19</v>
      </c>
      <c r="B1869" t="s">
        <v>80</v>
      </c>
      <c r="C1869" t="s">
        <v>57</v>
      </c>
      <c r="D1869">
        <v>2025</v>
      </c>
      <c r="E1869" t="s">
        <v>62</v>
      </c>
      <c r="F1869">
        <v>4969</v>
      </c>
      <c r="G1869" t="s">
        <v>145</v>
      </c>
    </row>
    <row r="1870" spans="1:7" hidden="1" x14ac:dyDescent="0.35">
      <c r="A1870" t="s">
        <v>19</v>
      </c>
      <c r="B1870" t="s">
        <v>80</v>
      </c>
      <c r="C1870" t="s">
        <v>57</v>
      </c>
      <c r="D1870">
        <v>2025</v>
      </c>
      <c r="E1870" t="s">
        <v>98</v>
      </c>
      <c r="F1870">
        <v>177</v>
      </c>
      <c r="G1870" t="s">
        <v>145</v>
      </c>
    </row>
    <row r="1871" spans="1:7" hidden="1" x14ac:dyDescent="0.35">
      <c r="A1871" t="s">
        <v>19</v>
      </c>
      <c r="B1871" t="s">
        <v>80</v>
      </c>
      <c r="C1871" t="s">
        <v>58</v>
      </c>
      <c r="D1871">
        <v>2022</v>
      </c>
      <c r="E1871" t="s">
        <v>62</v>
      </c>
      <c r="F1871">
        <v>40</v>
      </c>
      <c r="G1871" t="s">
        <v>145</v>
      </c>
    </row>
    <row r="1872" spans="1:7" hidden="1" x14ac:dyDescent="0.35">
      <c r="A1872" t="s">
        <v>19</v>
      </c>
      <c r="B1872" t="s">
        <v>80</v>
      </c>
      <c r="C1872" t="s">
        <v>58</v>
      </c>
      <c r="D1872">
        <v>2022</v>
      </c>
      <c r="E1872" t="s">
        <v>98</v>
      </c>
      <c r="F1872">
        <v>84</v>
      </c>
      <c r="G1872" t="s">
        <v>145</v>
      </c>
    </row>
    <row r="1873" spans="1:7" hidden="1" x14ac:dyDescent="0.35">
      <c r="A1873" t="s">
        <v>19</v>
      </c>
      <c r="B1873" t="s">
        <v>80</v>
      </c>
      <c r="C1873" t="s">
        <v>58</v>
      </c>
      <c r="D1873">
        <v>2023</v>
      </c>
      <c r="E1873" t="s">
        <v>62</v>
      </c>
      <c r="F1873">
        <v>167</v>
      </c>
      <c r="G1873" t="s">
        <v>145</v>
      </c>
    </row>
    <row r="1874" spans="1:7" hidden="1" x14ac:dyDescent="0.35">
      <c r="A1874" t="s">
        <v>19</v>
      </c>
      <c r="B1874" t="s">
        <v>80</v>
      </c>
      <c r="C1874" t="s">
        <v>58</v>
      </c>
      <c r="D1874">
        <v>2023</v>
      </c>
      <c r="E1874" t="s">
        <v>98</v>
      </c>
      <c r="F1874">
        <v>140</v>
      </c>
      <c r="G1874" t="s">
        <v>145</v>
      </c>
    </row>
    <row r="1875" spans="1:7" hidden="1" x14ac:dyDescent="0.35">
      <c r="A1875" t="s">
        <v>19</v>
      </c>
      <c r="B1875" t="s">
        <v>80</v>
      </c>
      <c r="C1875" t="s">
        <v>58</v>
      </c>
      <c r="D1875">
        <v>2024</v>
      </c>
      <c r="E1875" t="s">
        <v>62</v>
      </c>
      <c r="F1875">
        <v>78</v>
      </c>
      <c r="G1875" t="s">
        <v>145</v>
      </c>
    </row>
    <row r="1876" spans="1:7" hidden="1" x14ac:dyDescent="0.35">
      <c r="A1876" t="s">
        <v>19</v>
      </c>
      <c r="B1876" t="s">
        <v>80</v>
      </c>
      <c r="C1876" t="s">
        <v>58</v>
      </c>
      <c r="D1876">
        <v>2024</v>
      </c>
      <c r="E1876" t="s">
        <v>98</v>
      </c>
      <c r="F1876">
        <v>95</v>
      </c>
      <c r="G1876" t="s">
        <v>145</v>
      </c>
    </row>
    <row r="1877" spans="1:7" hidden="1" x14ac:dyDescent="0.35">
      <c r="A1877" t="s">
        <v>19</v>
      </c>
      <c r="B1877" t="s">
        <v>80</v>
      </c>
      <c r="C1877" t="s">
        <v>58</v>
      </c>
      <c r="D1877">
        <v>2025</v>
      </c>
      <c r="E1877" t="s">
        <v>62</v>
      </c>
      <c r="F1877">
        <v>206</v>
      </c>
      <c r="G1877" t="s">
        <v>145</v>
      </c>
    </row>
    <row r="1878" spans="1:7" hidden="1" x14ac:dyDescent="0.35">
      <c r="A1878" t="s">
        <v>19</v>
      </c>
      <c r="B1878" t="s">
        <v>80</v>
      </c>
      <c r="C1878" t="s">
        <v>58</v>
      </c>
      <c r="D1878">
        <v>2025</v>
      </c>
      <c r="E1878" t="s">
        <v>98</v>
      </c>
      <c r="F1878">
        <v>-813</v>
      </c>
      <c r="G1878" t="s">
        <v>145</v>
      </c>
    </row>
    <row r="1879" spans="1:7" hidden="1" x14ac:dyDescent="0.35">
      <c r="A1879" t="s">
        <v>19</v>
      </c>
      <c r="B1879" t="s">
        <v>80</v>
      </c>
      <c r="C1879" t="s">
        <v>59</v>
      </c>
      <c r="D1879">
        <v>2022</v>
      </c>
      <c r="E1879" t="s">
        <v>62</v>
      </c>
      <c r="F1879">
        <v>1122</v>
      </c>
      <c r="G1879" t="s">
        <v>145</v>
      </c>
    </row>
    <row r="1880" spans="1:7" hidden="1" x14ac:dyDescent="0.35">
      <c r="A1880" t="s">
        <v>19</v>
      </c>
      <c r="B1880" t="s">
        <v>80</v>
      </c>
      <c r="C1880" t="s">
        <v>59</v>
      </c>
      <c r="D1880">
        <v>2022</v>
      </c>
      <c r="E1880" t="s">
        <v>98</v>
      </c>
      <c r="F1880">
        <v>1700</v>
      </c>
      <c r="G1880" t="s">
        <v>145</v>
      </c>
    </row>
    <row r="1881" spans="1:7" hidden="1" x14ac:dyDescent="0.35">
      <c r="A1881" t="s">
        <v>19</v>
      </c>
      <c r="B1881" t="s">
        <v>80</v>
      </c>
      <c r="C1881" t="s">
        <v>59</v>
      </c>
      <c r="D1881">
        <v>2023</v>
      </c>
      <c r="E1881" t="s">
        <v>62</v>
      </c>
      <c r="F1881">
        <v>1685</v>
      </c>
      <c r="G1881" t="s">
        <v>145</v>
      </c>
    </row>
    <row r="1882" spans="1:7" hidden="1" x14ac:dyDescent="0.35">
      <c r="A1882" t="s">
        <v>19</v>
      </c>
      <c r="B1882" t="s">
        <v>80</v>
      </c>
      <c r="C1882" t="s">
        <v>59</v>
      </c>
      <c r="D1882">
        <v>2023</v>
      </c>
      <c r="E1882" t="s">
        <v>98</v>
      </c>
      <c r="F1882">
        <v>2213</v>
      </c>
      <c r="G1882" t="s">
        <v>145</v>
      </c>
    </row>
    <row r="1883" spans="1:7" hidden="1" x14ac:dyDescent="0.35">
      <c r="A1883" t="s">
        <v>19</v>
      </c>
      <c r="B1883" t="s">
        <v>80</v>
      </c>
      <c r="C1883" t="s">
        <v>59</v>
      </c>
      <c r="D1883">
        <v>2024</v>
      </c>
      <c r="E1883" t="s">
        <v>62</v>
      </c>
      <c r="F1883">
        <v>2078</v>
      </c>
      <c r="G1883" t="s">
        <v>145</v>
      </c>
    </row>
    <row r="1884" spans="1:7" hidden="1" x14ac:dyDescent="0.35">
      <c r="A1884" t="s">
        <v>19</v>
      </c>
      <c r="B1884" t="s">
        <v>80</v>
      </c>
      <c r="C1884" t="s">
        <v>59</v>
      </c>
      <c r="D1884">
        <v>2024</v>
      </c>
      <c r="E1884" t="s">
        <v>98</v>
      </c>
      <c r="F1884">
        <v>2246</v>
      </c>
      <c r="G1884" t="s">
        <v>145</v>
      </c>
    </row>
    <row r="1885" spans="1:7" hidden="1" x14ac:dyDescent="0.35">
      <c r="A1885" t="s">
        <v>19</v>
      </c>
      <c r="B1885" t="s">
        <v>80</v>
      </c>
      <c r="C1885" t="s">
        <v>59</v>
      </c>
      <c r="D1885">
        <v>2025</v>
      </c>
      <c r="E1885" t="s">
        <v>62</v>
      </c>
      <c r="F1885">
        <v>3124</v>
      </c>
      <c r="G1885" t="s">
        <v>145</v>
      </c>
    </row>
    <row r="1886" spans="1:7" hidden="1" x14ac:dyDescent="0.35">
      <c r="A1886" t="s">
        <v>19</v>
      </c>
      <c r="B1886" t="s">
        <v>80</v>
      </c>
      <c r="C1886" t="s">
        <v>59</v>
      </c>
      <c r="D1886">
        <v>2025</v>
      </c>
      <c r="E1886" t="s">
        <v>98</v>
      </c>
      <c r="F1886">
        <v>3662</v>
      </c>
      <c r="G1886" t="s">
        <v>145</v>
      </c>
    </row>
    <row r="1887" spans="1:7" hidden="1" x14ac:dyDescent="0.35">
      <c r="A1887" t="s">
        <v>100</v>
      </c>
      <c r="B1887" t="s">
        <v>101</v>
      </c>
      <c r="C1887" t="s">
        <v>57</v>
      </c>
      <c r="D1887">
        <v>2025</v>
      </c>
      <c r="E1887" t="s">
        <v>62</v>
      </c>
      <c r="F1887">
        <v>0</v>
      </c>
      <c r="G1887" t="s">
        <v>145</v>
      </c>
    </row>
    <row r="1888" spans="1:7" hidden="1" x14ac:dyDescent="0.35">
      <c r="A1888" t="s">
        <v>100</v>
      </c>
      <c r="B1888" t="s">
        <v>101</v>
      </c>
      <c r="C1888" t="s">
        <v>58</v>
      </c>
      <c r="D1888">
        <v>2025</v>
      </c>
      <c r="E1888" t="s">
        <v>62</v>
      </c>
      <c r="F1888">
        <v>0</v>
      </c>
      <c r="G1888" t="s">
        <v>145</v>
      </c>
    </row>
    <row r="1889" spans="1:7" hidden="1" x14ac:dyDescent="0.35">
      <c r="A1889" t="s">
        <v>100</v>
      </c>
      <c r="B1889" t="s">
        <v>101</v>
      </c>
      <c r="C1889" t="s">
        <v>59</v>
      </c>
      <c r="D1889">
        <v>2025</v>
      </c>
      <c r="E1889" t="s">
        <v>62</v>
      </c>
      <c r="F1889">
        <v>0</v>
      </c>
      <c r="G1889" t="s">
        <v>145</v>
      </c>
    </row>
    <row r="1890" spans="1:7" hidden="1" x14ac:dyDescent="0.35">
      <c r="A1890" t="s">
        <v>100</v>
      </c>
      <c r="B1890" t="s">
        <v>101</v>
      </c>
      <c r="C1890" t="s">
        <v>59</v>
      </c>
      <c r="D1890">
        <v>2025</v>
      </c>
      <c r="E1890" t="s">
        <v>98</v>
      </c>
      <c r="F1890">
        <v>4886</v>
      </c>
      <c r="G1890" t="s">
        <v>145</v>
      </c>
    </row>
    <row r="1891" spans="1:7" hidden="1" x14ac:dyDescent="0.35">
      <c r="A1891" t="s">
        <v>20</v>
      </c>
      <c r="B1891" t="s">
        <v>81</v>
      </c>
      <c r="C1891" t="s">
        <v>57</v>
      </c>
      <c r="D1891">
        <v>2022</v>
      </c>
      <c r="E1891" t="s">
        <v>62</v>
      </c>
      <c r="F1891">
        <v>6201</v>
      </c>
      <c r="G1891" t="s">
        <v>145</v>
      </c>
    </row>
    <row r="1892" spans="1:7" hidden="1" x14ac:dyDescent="0.35">
      <c r="A1892" t="s">
        <v>20</v>
      </c>
      <c r="B1892" t="s">
        <v>81</v>
      </c>
      <c r="C1892" t="s">
        <v>57</v>
      </c>
      <c r="D1892">
        <v>2022</v>
      </c>
      <c r="E1892" t="s">
        <v>98</v>
      </c>
      <c r="F1892">
        <v>7746</v>
      </c>
      <c r="G1892" t="s">
        <v>145</v>
      </c>
    </row>
    <row r="1893" spans="1:7" hidden="1" x14ac:dyDescent="0.35">
      <c r="A1893" t="s">
        <v>20</v>
      </c>
      <c r="B1893" t="s">
        <v>81</v>
      </c>
      <c r="C1893" t="s">
        <v>57</v>
      </c>
      <c r="D1893">
        <v>2023</v>
      </c>
      <c r="E1893" t="s">
        <v>62</v>
      </c>
      <c r="F1893">
        <v>7533</v>
      </c>
      <c r="G1893" t="s">
        <v>145</v>
      </c>
    </row>
    <row r="1894" spans="1:7" hidden="1" x14ac:dyDescent="0.35">
      <c r="A1894" t="s">
        <v>20</v>
      </c>
      <c r="B1894" t="s">
        <v>81</v>
      </c>
      <c r="C1894" t="s">
        <v>57</v>
      </c>
      <c r="D1894">
        <v>2023</v>
      </c>
      <c r="E1894" t="s">
        <v>98</v>
      </c>
      <c r="F1894">
        <v>8267</v>
      </c>
      <c r="G1894" t="s">
        <v>145</v>
      </c>
    </row>
    <row r="1895" spans="1:7" hidden="1" x14ac:dyDescent="0.35">
      <c r="A1895" t="s">
        <v>20</v>
      </c>
      <c r="B1895" t="s">
        <v>81</v>
      </c>
      <c r="C1895" t="s">
        <v>57</v>
      </c>
      <c r="D1895">
        <v>2024</v>
      </c>
      <c r="E1895" t="s">
        <v>62</v>
      </c>
      <c r="F1895">
        <v>7783</v>
      </c>
      <c r="G1895" t="s">
        <v>145</v>
      </c>
    </row>
    <row r="1896" spans="1:7" hidden="1" x14ac:dyDescent="0.35">
      <c r="A1896" t="s">
        <v>20</v>
      </c>
      <c r="B1896" t="s">
        <v>81</v>
      </c>
      <c r="C1896" t="s">
        <v>57</v>
      </c>
      <c r="D1896">
        <v>2024</v>
      </c>
      <c r="E1896" t="s">
        <v>98</v>
      </c>
      <c r="F1896">
        <v>8635</v>
      </c>
      <c r="G1896" t="s">
        <v>145</v>
      </c>
    </row>
    <row r="1897" spans="1:7" hidden="1" x14ac:dyDescent="0.35">
      <c r="A1897" t="s">
        <v>20</v>
      </c>
      <c r="B1897" t="s">
        <v>81</v>
      </c>
      <c r="C1897" t="s">
        <v>57</v>
      </c>
      <c r="D1897">
        <v>2025</v>
      </c>
      <c r="E1897" t="s">
        <v>62</v>
      </c>
      <c r="F1897">
        <v>8727</v>
      </c>
      <c r="G1897" t="s">
        <v>145</v>
      </c>
    </row>
    <row r="1898" spans="1:7" hidden="1" x14ac:dyDescent="0.35">
      <c r="A1898" t="s">
        <v>20</v>
      </c>
      <c r="B1898" t="s">
        <v>81</v>
      </c>
      <c r="C1898" t="s">
        <v>57</v>
      </c>
      <c r="D1898">
        <v>2025</v>
      </c>
      <c r="E1898" t="s">
        <v>98</v>
      </c>
      <c r="F1898">
        <v>9807</v>
      </c>
      <c r="G1898" t="s">
        <v>145</v>
      </c>
    </row>
    <row r="1899" spans="1:7" hidden="1" x14ac:dyDescent="0.35">
      <c r="A1899" t="s">
        <v>20</v>
      </c>
      <c r="B1899" t="s">
        <v>81</v>
      </c>
      <c r="C1899" t="s">
        <v>58</v>
      </c>
      <c r="D1899">
        <v>2022</v>
      </c>
      <c r="E1899" t="s">
        <v>62</v>
      </c>
      <c r="F1899">
        <v>518</v>
      </c>
      <c r="G1899" t="s">
        <v>145</v>
      </c>
    </row>
    <row r="1900" spans="1:7" hidden="1" x14ac:dyDescent="0.35">
      <c r="A1900" t="s">
        <v>20</v>
      </c>
      <c r="B1900" t="s">
        <v>81</v>
      </c>
      <c r="C1900" t="s">
        <v>58</v>
      </c>
      <c r="D1900">
        <v>2022</v>
      </c>
      <c r="E1900" t="s">
        <v>98</v>
      </c>
      <c r="F1900">
        <v>655</v>
      </c>
      <c r="G1900" t="s">
        <v>145</v>
      </c>
    </row>
    <row r="1901" spans="1:7" hidden="1" x14ac:dyDescent="0.35">
      <c r="A1901" t="s">
        <v>20</v>
      </c>
      <c r="B1901" t="s">
        <v>81</v>
      </c>
      <c r="C1901" t="s">
        <v>58</v>
      </c>
      <c r="D1901">
        <v>2023</v>
      </c>
      <c r="E1901" t="s">
        <v>62</v>
      </c>
      <c r="F1901">
        <v>582</v>
      </c>
      <c r="G1901" t="s">
        <v>145</v>
      </c>
    </row>
    <row r="1902" spans="1:7" hidden="1" x14ac:dyDescent="0.35">
      <c r="A1902" t="s">
        <v>20</v>
      </c>
      <c r="B1902" t="s">
        <v>81</v>
      </c>
      <c r="C1902" t="s">
        <v>58</v>
      </c>
      <c r="D1902">
        <v>2023</v>
      </c>
      <c r="E1902" t="s">
        <v>98</v>
      </c>
      <c r="F1902">
        <v>637</v>
      </c>
      <c r="G1902" t="s">
        <v>145</v>
      </c>
    </row>
    <row r="1903" spans="1:7" hidden="1" x14ac:dyDescent="0.35">
      <c r="A1903" t="s">
        <v>20</v>
      </c>
      <c r="B1903" t="s">
        <v>81</v>
      </c>
      <c r="C1903" t="s">
        <v>58</v>
      </c>
      <c r="D1903">
        <v>2024</v>
      </c>
      <c r="E1903" t="s">
        <v>62</v>
      </c>
      <c r="F1903">
        <v>106</v>
      </c>
      <c r="G1903" t="s">
        <v>145</v>
      </c>
    </row>
    <row r="1904" spans="1:7" hidden="1" x14ac:dyDescent="0.35">
      <c r="A1904" t="s">
        <v>20</v>
      </c>
      <c r="B1904" t="s">
        <v>81</v>
      </c>
      <c r="C1904" t="s">
        <v>58</v>
      </c>
      <c r="D1904">
        <v>2024</v>
      </c>
      <c r="E1904" t="s">
        <v>98</v>
      </c>
      <c r="F1904">
        <v>804</v>
      </c>
      <c r="G1904" t="s">
        <v>145</v>
      </c>
    </row>
    <row r="1905" spans="1:7" hidden="1" x14ac:dyDescent="0.35">
      <c r="A1905" t="s">
        <v>20</v>
      </c>
      <c r="B1905" t="s">
        <v>81</v>
      </c>
      <c r="C1905" t="s">
        <v>58</v>
      </c>
      <c r="D1905">
        <v>2025</v>
      </c>
      <c r="E1905" t="s">
        <v>62</v>
      </c>
      <c r="F1905">
        <v>751</v>
      </c>
      <c r="G1905" t="s">
        <v>145</v>
      </c>
    </row>
    <row r="1906" spans="1:7" hidden="1" x14ac:dyDescent="0.35">
      <c r="A1906" t="s">
        <v>20</v>
      </c>
      <c r="B1906" t="s">
        <v>81</v>
      </c>
      <c r="C1906" t="s">
        <v>58</v>
      </c>
      <c r="D1906">
        <v>2025</v>
      </c>
      <c r="E1906" t="s">
        <v>98</v>
      </c>
      <c r="F1906">
        <v>455</v>
      </c>
      <c r="G1906" t="s">
        <v>145</v>
      </c>
    </row>
    <row r="1907" spans="1:7" hidden="1" x14ac:dyDescent="0.35">
      <c r="A1907" t="s">
        <v>20</v>
      </c>
      <c r="B1907" t="s">
        <v>81</v>
      </c>
      <c r="C1907" t="s">
        <v>59</v>
      </c>
      <c r="D1907">
        <v>2022</v>
      </c>
      <c r="E1907" t="s">
        <v>62</v>
      </c>
      <c r="F1907">
        <v>113</v>
      </c>
      <c r="G1907" t="s">
        <v>145</v>
      </c>
    </row>
    <row r="1908" spans="1:7" hidden="1" x14ac:dyDescent="0.35">
      <c r="A1908" t="s">
        <v>20</v>
      </c>
      <c r="B1908" t="s">
        <v>81</v>
      </c>
      <c r="C1908" t="s">
        <v>59</v>
      </c>
      <c r="D1908">
        <v>2022</v>
      </c>
      <c r="E1908" t="s">
        <v>98</v>
      </c>
      <c r="F1908">
        <v>108</v>
      </c>
      <c r="G1908" t="s">
        <v>145</v>
      </c>
    </row>
    <row r="1909" spans="1:7" hidden="1" x14ac:dyDescent="0.35">
      <c r="A1909" t="s">
        <v>20</v>
      </c>
      <c r="B1909" t="s">
        <v>81</v>
      </c>
      <c r="C1909" t="s">
        <v>59</v>
      </c>
      <c r="D1909">
        <v>2023</v>
      </c>
      <c r="E1909" t="s">
        <v>62</v>
      </c>
      <c r="F1909">
        <v>15</v>
      </c>
      <c r="G1909" t="s">
        <v>145</v>
      </c>
    </row>
    <row r="1910" spans="1:7" hidden="1" x14ac:dyDescent="0.35">
      <c r="A1910" t="s">
        <v>20</v>
      </c>
      <c r="B1910" t="s">
        <v>81</v>
      </c>
      <c r="C1910" t="s">
        <v>59</v>
      </c>
      <c r="D1910">
        <v>2023</v>
      </c>
      <c r="E1910" t="s">
        <v>98</v>
      </c>
      <c r="F1910">
        <v>59</v>
      </c>
      <c r="G1910" t="s">
        <v>145</v>
      </c>
    </row>
    <row r="1911" spans="1:7" hidden="1" x14ac:dyDescent="0.35">
      <c r="A1911" t="s">
        <v>20</v>
      </c>
      <c r="B1911" t="s">
        <v>81</v>
      </c>
      <c r="C1911" t="s">
        <v>59</v>
      </c>
      <c r="D1911">
        <v>2024</v>
      </c>
      <c r="E1911" t="s">
        <v>62</v>
      </c>
      <c r="F1911">
        <v>18</v>
      </c>
      <c r="G1911" t="s">
        <v>145</v>
      </c>
    </row>
    <row r="1912" spans="1:7" hidden="1" x14ac:dyDescent="0.35">
      <c r="A1912" t="s">
        <v>20</v>
      </c>
      <c r="B1912" t="s">
        <v>81</v>
      </c>
      <c r="C1912" t="s">
        <v>59</v>
      </c>
      <c r="D1912">
        <v>2024</v>
      </c>
      <c r="E1912" t="s">
        <v>98</v>
      </c>
      <c r="F1912">
        <v>110</v>
      </c>
      <c r="G1912" t="s">
        <v>145</v>
      </c>
    </row>
    <row r="1913" spans="1:7" hidden="1" x14ac:dyDescent="0.35">
      <c r="A1913" t="s">
        <v>20</v>
      </c>
      <c r="B1913" t="s">
        <v>81</v>
      </c>
      <c r="C1913" t="s">
        <v>59</v>
      </c>
      <c r="D1913">
        <v>2025</v>
      </c>
      <c r="E1913" t="s">
        <v>62</v>
      </c>
      <c r="F1913">
        <v>31</v>
      </c>
      <c r="G1913" t="s">
        <v>145</v>
      </c>
    </row>
    <row r="1914" spans="1:7" hidden="1" x14ac:dyDescent="0.35">
      <c r="A1914" t="s">
        <v>20</v>
      </c>
      <c r="B1914" t="s">
        <v>81</v>
      </c>
      <c r="C1914" t="s">
        <v>59</v>
      </c>
      <c r="D1914">
        <v>2025</v>
      </c>
      <c r="E1914" t="s">
        <v>98</v>
      </c>
      <c r="F1914">
        <v>0</v>
      </c>
      <c r="G1914" t="s">
        <v>145</v>
      </c>
    </row>
    <row r="1915" spans="1:7" hidden="1" x14ac:dyDescent="0.35">
      <c r="A1915" t="s">
        <v>21</v>
      </c>
      <c r="B1915" t="s">
        <v>82</v>
      </c>
      <c r="C1915" t="s">
        <v>57</v>
      </c>
      <c r="D1915">
        <v>2022</v>
      </c>
      <c r="E1915" t="s">
        <v>62</v>
      </c>
      <c r="F1915">
        <v>5907</v>
      </c>
      <c r="G1915" t="s">
        <v>145</v>
      </c>
    </row>
    <row r="1916" spans="1:7" hidden="1" x14ac:dyDescent="0.35">
      <c r="A1916" t="s">
        <v>21</v>
      </c>
      <c r="B1916" t="s">
        <v>82</v>
      </c>
      <c r="C1916" t="s">
        <v>57</v>
      </c>
      <c r="D1916">
        <v>2022</v>
      </c>
      <c r="E1916" t="s">
        <v>98</v>
      </c>
      <c r="F1916">
        <v>7698</v>
      </c>
      <c r="G1916" t="s">
        <v>145</v>
      </c>
    </row>
    <row r="1917" spans="1:7" hidden="1" x14ac:dyDescent="0.35">
      <c r="A1917" t="s">
        <v>21</v>
      </c>
      <c r="B1917" t="s">
        <v>82</v>
      </c>
      <c r="C1917" t="s">
        <v>57</v>
      </c>
      <c r="D1917">
        <v>2023</v>
      </c>
      <c r="E1917" t="s">
        <v>62</v>
      </c>
      <c r="F1917">
        <v>7449</v>
      </c>
      <c r="G1917" t="s">
        <v>145</v>
      </c>
    </row>
    <row r="1918" spans="1:7" hidden="1" x14ac:dyDescent="0.35">
      <c r="A1918" t="s">
        <v>21</v>
      </c>
      <c r="B1918" t="s">
        <v>82</v>
      </c>
      <c r="C1918" t="s">
        <v>57</v>
      </c>
      <c r="D1918">
        <v>2023</v>
      </c>
      <c r="E1918" t="s">
        <v>98</v>
      </c>
      <c r="F1918">
        <v>5743</v>
      </c>
      <c r="G1918" t="s">
        <v>145</v>
      </c>
    </row>
    <row r="1919" spans="1:7" hidden="1" x14ac:dyDescent="0.35">
      <c r="A1919" t="s">
        <v>21</v>
      </c>
      <c r="B1919" t="s">
        <v>82</v>
      </c>
      <c r="C1919" t="s">
        <v>57</v>
      </c>
      <c r="D1919">
        <v>2024</v>
      </c>
      <c r="E1919" t="s">
        <v>62</v>
      </c>
      <c r="F1919">
        <v>5651</v>
      </c>
      <c r="G1919" t="s">
        <v>145</v>
      </c>
    </row>
    <row r="1920" spans="1:7" hidden="1" x14ac:dyDescent="0.35">
      <c r="A1920" t="s">
        <v>21</v>
      </c>
      <c r="B1920" t="s">
        <v>82</v>
      </c>
      <c r="C1920" t="s">
        <v>57</v>
      </c>
      <c r="D1920">
        <v>2024</v>
      </c>
      <c r="E1920" t="s">
        <v>98</v>
      </c>
      <c r="F1920">
        <v>5227</v>
      </c>
      <c r="G1920" t="s">
        <v>145</v>
      </c>
    </row>
    <row r="1921" spans="1:7" hidden="1" x14ac:dyDescent="0.35">
      <c r="A1921" t="s">
        <v>21</v>
      </c>
      <c r="B1921" t="s">
        <v>82</v>
      </c>
      <c r="C1921" t="s">
        <v>57</v>
      </c>
      <c r="D1921">
        <v>2025</v>
      </c>
      <c r="E1921" t="s">
        <v>62</v>
      </c>
      <c r="F1921">
        <v>5380</v>
      </c>
      <c r="G1921" t="s">
        <v>145</v>
      </c>
    </row>
    <row r="1922" spans="1:7" hidden="1" x14ac:dyDescent="0.35">
      <c r="A1922" t="s">
        <v>21</v>
      </c>
      <c r="B1922" t="s">
        <v>82</v>
      </c>
      <c r="C1922" t="s">
        <v>57</v>
      </c>
      <c r="D1922">
        <v>2025</v>
      </c>
      <c r="E1922" t="s">
        <v>98</v>
      </c>
      <c r="F1922">
        <v>9807</v>
      </c>
      <c r="G1922" t="s">
        <v>145</v>
      </c>
    </row>
    <row r="1923" spans="1:7" hidden="1" x14ac:dyDescent="0.35">
      <c r="A1923" t="s">
        <v>21</v>
      </c>
      <c r="B1923" t="s">
        <v>82</v>
      </c>
      <c r="C1923" t="s">
        <v>58</v>
      </c>
      <c r="D1923">
        <v>2022</v>
      </c>
      <c r="E1923" t="s">
        <v>62</v>
      </c>
      <c r="F1923">
        <v>98</v>
      </c>
      <c r="G1923" t="s">
        <v>145</v>
      </c>
    </row>
    <row r="1924" spans="1:7" hidden="1" x14ac:dyDescent="0.35">
      <c r="A1924" t="s">
        <v>21</v>
      </c>
      <c r="B1924" t="s">
        <v>82</v>
      </c>
      <c r="C1924" t="s">
        <v>58</v>
      </c>
      <c r="D1924">
        <v>2022</v>
      </c>
      <c r="E1924" t="s">
        <v>98</v>
      </c>
      <c r="F1924">
        <v>144</v>
      </c>
      <c r="G1924" t="s">
        <v>145</v>
      </c>
    </row>
    <row r="1925" spans="1:7" hidden="1" x14ac:dyDescent="0.35">
      <c r="A1925" t="s">
        <v>21</v>
      </c>
      <c r="B1925" t="s">
        <v>82</v>
      </c>
      <c r="C1925" t="s">
        <v>58</v>
      </c>
      <c r="D1925">
        <v>2023</v>
      </c>
      <c r="E1925" t="s">
        <v>62</v>
      </c>
      <c r="F1925">
        <v>21</v>
      </c>
      <c r="G1925" t="s">
        <v>145</v>
      </c>
    </row>
    <row r="1926" spans="1:7" hidden="1" x14ac:dyDescent="0.35">
      <c r="A1926" t="s">
        <v>21</v>
      </c>
      <c r="B1926" t="s">
        <v>82</v>
      </c>
      <c r="C1926" t="s">
        <v>58</v>
      </c>
      <c r="D1926">
        <v>2023</v>
      </c>
      <c r="E1926" t="s">
        <v>98</v>
      </c>
      <c r="F1926">
        <v>322</v>
      </c>
      <c r="G1926" t="s">
        <v>145</v>
      </c>
    </row>
    <row r="1927" spans="1:7" hidden="1" x14ac:dyDescent="0.35">
      <c r="A1927" t="s">
        <v>21</v>
      </c>
      <c r="B1927" t="s">
        <v>82</v>
      </c>
      <c r="C1927" t="s">
        <v>58</v>
      </c>
      <c r="D1927">
        <v>2024</v>
      </c>
      <c r="E1927" t="s">
        <v>62</v>
      </c>
      <c r="F1927">
        <v>71</v>
      </c>
      <c r="G1927" t="s">
        <v>145</v>
      </c>
    </row>
    <row r="1928" spans="1:7" hidden="1" x14ac:dyDescent="0.35">
      <c r="A1928" t="s">
        <v>21</v>
      </c>
      <c r="B1928" t="s">
        <v>82</v>
      </c>
      <c r="C1928" t="s">
        <v>58</v>
      </c>
      <c r="D1928">
        <v>2024</v>
      </c>
      <c r="E1928" t="s">
        <v>98</v>
      </c>
      <c r="F1928">
        <v>222</v>
      </c>
      <c r="G1928" t="s">
        <v>145</v>
      </c>
    </row>
    <row r="1929" spans="1:7" hidden="1" x14ac:dyDescent="0.35">
      <c r="A1929" t="s">
        <v>21</v>
      </c>
      <c r="B1929" t="s">
        <v>82</v>
      </c>
      <c r="C1929" t="s">
        <v>58</v>
      </c>
      <c r="D1929">
        <v>2025</v>
      </c>
      <c r="E1929" t="s">
        <v>62</v>
      </c>
      <c r="F1929">
        <v>209</v>
      </c>
      <c r="G1929" t="s">
        <v>145</v>
      </c>
    </row>
    <row r="1930" spans="1:7" hidden="1" x14ac:dyDescent="0.35">
      <c r="A1930" t="s">
        <v>21</v>
      </c>
      <c r="B1930" t="s">
        <v>82</v>
      </c>
      <c r="C1930" t="s">
        <v>58</v>
      </c>
      <c r="D1930">
        <v>2025</v>
      </c>
      <c r="E1930" t="s">
        <v>98</v>
      </c>
      <c r="F1930">
        <v>455</v>
      </c>
      <c r="G1930" t="s">
        <v>145</v>
      </c>
    </row>
    <row r="1931" spans="1:7" hidden="1" x14ac:dyDescent="0.35">
      <c r="A1931" t="s">
        <v>21</v>
      </c>
      <c r="B1931" t="s">
        <v>82</v>
      </c>
      <c r="C1931" t="s">
        <v>59</v>
      </c>
      <c r="D1931">
        <v>2022</v>
      </c>
      <c r="E1931" t="s">
        <v>62</v>
      </c>
      <c r="F1931">
        <v>3131</v>
      </c>
      <c r="G1931" t="s">
        <v>145</v>
      </c>
    </row>
    <row r="1932" spans="1:7" hidden="1" x14ac:dyDescent="0.35">
      <c r="A1932" t="s">
        <v>21</v>
      </c>
      <c r="B1932" t="s">
        <v>82</v>
      </c>
      <c r="C1932" t="s">
        <v>59</v>
      </c>
      <c r="D1932">
        <v>2022</v>
      </c>
      <c r="E1932" t="s">
        <v>98</v>
      </c>
      <c r="F1932">
        <v>3176</v>
      </c>
      <c r="G1932" t="s">
        <v>145</v>
      </c>
    </row>
    <row r="1933" spans="1:7" hidden="1" x14ac:dyDescent="0.35">
      <c r="A1933" t="s">
        <v>21</v>
      </c>
      <c r="B1933" t="s">
        <v>82</v>
      </c>
      <c r="C1933" t="s">
        <v>59</v>
      </c>
      <c r="D1933">
        <v>2023</v>
      </c>
      <c r="E1933" t="s">
        <v>62</v>
      </c>
      <c r="F1933">
        <v>3455</v>
      </c>
      <c r="G1933" t="s">
        <v>145</v>
      </c>
    </row>
    <row r="1934" spans="1:7" hidden="1" x14ac:dyDescent="0.35">
      <c r="A1934" t="s">
        <v>21</v>
      </c>
      <c r="B1934" t="s">
        <v>82</v>
      </c>
      <c r="C1934" t="s">
        <v>59</v>
      </c>
      <c r="D1934">
        <v>2023</v>
      </c>
      <c r="E1934" t="s">
        <v>98</v>
      </c>
      <c r="F1934">
        <v>3789</v>
      </c>
      <c r="G1934" t="s">
        <v>145</v>
      </c>
    </row>
    <row r="1935" spans="1:7" hidden="1" x14ac:dyDescent="0.35">
      <c r="A1935" t="s">
        <v>21</v>
      </c>
      <c r="B1935" t="s">
        <v>82</v>
      </c>
      <c r="C1935" t="s">
        <v>59</v>
      </c>
      <c r="D1935">
        <v>2024</v>
      </c>
      <c r="E1935" t="s">
        <v>62</v>
      </c>
      <c r="F1935">
        <v>3869</v>
      </c>
      <c r="G1935" t="s">
        <v>145</v>
      </c>
    </row>
    <row r="1936" spans="1:7" hidden="1" x14ac:dyDescent="0.35">
      <c r="A1936" t="s">
        <v>21</v>
      </c>
      <c r="B1936" t="s">
        <v>82</v>
      </c>
      <c r="C1936" t="s">
        <v>59</v>
      </c>
      <c r="D1936">
        <v>2024</v>
      </c>
      <c r="E1936" t="s">
        <v>98</v>
      </c>
      <c r="F1936">
        <v>3973</v>
      </c>
      <c r="G1936" t="s">
        <v>145</v>
      </c>
    </row>
    <row r="1937" spans="1:7" hidden="1" x14ac:dyDescent="0.35">
      <c r="A1937" t="s">
        <v>21</v>
      </c>
      <c r="B1937" t="s">
        <v>82</v>
      </c>
      <c r="C1937" t="s">
        <v>59</v>
      </c>
      <c r="D1937">
        <v>2025</v>
      </c>
      <c r="E1937" t="s">
        <v>62</v>
      </c>
      <c r="F1937">
        <v>4114</v>
      </c>
      <c r="G1937" t="s">
        <v>145</v>
      </c>
    </row>
    <row r="1938" spans="1:7" hidden="1" x14ac:dyDescent="0.35">
      <c r="A1938" t="s">
        <v>21</v>
      </c>
      <c r="B1938" t="s">
        <v>82</v>
      </c>
      <c r="C1938" t="s">
        <v>59</v>
      </c>
      <c r="D1938">
        <v>2025</v>
      </c>
      <c r="E1938" t="s">
        <v>98</v>
      </c>
      <c r="F1938">
        <v>4606</v>
      </c>
      <c r="G1938" t="s">
        <v>145</v>
      </c>
    </row>
    <row r="1939" spans="1:7" hidden="1" x14ac:dyDescent="0.35">
      <c r="A1939" t="s">
        <v>22</v>
      </c>
      <c r="B1939" t="s">
        <v>46</v>
      </c>
      <c r="C1939" t="s">
        <v>57</v>
      </c>
      <c r="D1939">
        <v>2022</v>
      </c>
      <c r="E1939" t="s">
        <v>62</v>
      </c>
      <c r="F1939">
        <v>5227</v>
      </c>
      <c r="G1939" t="s">
        <v>145</v>
      </c>
    </row>
    <row r="1940" spans="1:7" hidden="1" x14ac:dyDescent="0.35">
      <c r="A1940" t="s">
        <v>22</v>
      </c>
      <c r="B1940" t="s">
        <v>46</v>
      </c>
      <c r="C1940" t="s">
        <v>57</v>
      </c>
      <c r="D1940">
        <v>2022</v>
      </c>
      <c r="E1940" t="s">
        <v>98</v>
      </c>
      <c r="F1940">
        <v>4283</v>
      </c>
      <c r="G1940" t="s">
        <v>145</v>
      </c>
    </row>
    <row r="1941" spans="1:7" hidden="1" x14ac:dyDescent="0.35">
      <c r="A1941" t="s">
        <v>22</v>
      </c>
      <c r="B1941" t="s">
        <v>46</v>
      </c>
      <c r="C1941" t="s">
        <v>57</v>
      </c>
      <c r="D1941">
        <v>2023</v>
      </c>
      <c r="E1941" t="s">
        <v>62</v>
      </c>
      <c r="F1941">
        <v>4432</v>
      </c>
      <c r="G1941" t="s">
        <v>145</v>
      </c>
    </row>
    <row r="1942" spans="1:7" hidden="1" x14ac:dyDescent="0.35">
      <c r="A1942" t="s">
        <v>22</v>
      </c>
      <c r="B1942" t="s">
        <v>46</v>
      </c>
      <c r="C1942" t="s">
        <v>57</v>
      </c>
      <c r="D1942">
        <v>2023</v>
      </c>
      <c r="E1942" t="s">
        <v>98</v>
      </c>
      <c r="F1942">
        <v>3825</v>
      </c>
      <c r="G1942" t="s">
        <v>145</v>
      </c>
    </row>
    <row r="1943" spans="1:7" hidden="1" x14ac:dyDescent="0.35">
      <c r="A1943" t="s">
        <v>22</v>
      </c>
      <c r="B1943" t="s">
        <v>46</v>
      </c>
      <c r="C1943" t="s">
        <v>57</v>
      </c>
      <c r="D1943">
        <v>2024</v>
      </c>
      <c r="E1943" t="s">
        <v>62</v>
      </c>
      <c r="F1943">
        <v>4229</v>
      </c>
      <c r="G1943" t="s">
        <v>145</v>
      </c>
    </row>
    <row r="1944" spans="1:7" hidden="1" x14ac:dyDescent="0.35">
      <c r="A1944" t="s">
        <v>22</v>
      </c>
      <c r="B1944" t="s">
        <v>46</v>
      </c>
      <c r="C1944" t="s">
        <v>57</v>
      </c>
      <c r="D1944">
        <v>2024</v>
      </c>
      <c r="E1944" t="s">
        <v>98</v>
      </c>
      <c r="F1944">
        <v>4544</v>
      </c>
      <c r="G1944" t="s">
        <v>145</v>
      </c>
    </row>
    <row r="1945" spans="1:7" hidden="1" x14ac:dyDescent="0.35">
      <c r="A1945" t="s">
        <v>22</v>
      </c>
      <c r="B1945" t="s">
        <v>46</v>
      </c>
      <c r="C1945" t="s">
        <v>57</v>
      </c>
      <c r="D1945">
        <v>2025</v>
      </c>
      <c r="E1945" t="s">
        <v>62</v>
      </c>
      <c r="F1945">
        <v>4700</v>
      </c>
      <c r="G1945" t="s">
        <v>145</v>
      </c>
    </row>
    <row r="1946" spans="1:7" hidden="1" x14ac:dyDescent="0.35">
      <c r="A1946" t="s">
        <v>22</v>
      </c>
      <c r="B1946" t="s">
        <v>46</v>
      </c>
      <c r="C1946" t="s">
        <v>57</v>
      </c>
      <c r="D1946">
        <v>2025</v>
      </c>
      <c r="E1946" t="s">
        <v>98</v>
      </c>
      <c r="F1946">
        <v>3216</v>
      </c>
      <c r="G1946" t="s">
        <v>145</v>
      </c>
    </row>
    <row r="1947" spans="1:7" hidden="1" x14ac:dyDescent="0.35">
      <c r="A1947" t="s">
        <v>22</v>
      </c>
      <c r="B1947" t="s">
        <v>46</v>
      </c>
      <c r="C1947" t="s">
        <v>58</v>
      </c>
      <c r="D1947">
        <v>2022</v>
      </c>
      <c r="E1947" t="s">
        <v>62</v>
      </c>
      <c r="F1947">
        <v>241</v>
      </c>
      <c r="G1947" t="s">
        <v>145</v>
      </c>
    </row>
    <row r="1948" spans="1:7" hidden="1" x14ac:dyDescent="0.35">
      <c r="A1948" t="s">
        <v>22</v>
      </c>
      <c r="B1948" t="s">
        <v>46</v>
      </c>
      <c r="C1948" t="s">
        <v>58</v>
      </c>
      <c r="D1948">
        <v>2022</v>
      </c>
      <c r="E1948" t="s">
        <v>98</v>
      </c>
      <c r="F1948">
        <v>256</v>
      </c>
      <c r="G1948" t="s">
        <v>145</v>
      </c>
    </row>
    <row r="1949" spans="1:7" hidden="1" x14ac:dyDescent="0.35">
      <c r="A1949" t="s">
        <v>22</v>
      </c>
      <c r="B1949" t="s">
        <v>46</v>
      </c>
      <c r="C1949" t="s">
        <v>58</v>
      </c>
      <c r="D1949">
        <v>2023</v>
      </c>
      <c r="E1949" t="s">
        <v>62</v>
      </c>
      <c r="F1949">
        <v>119</v>
      </c>
      <c r="G1949" t="s">
        <v>145</v>
      </c>
    </row>
    <row r="1950" spans="1:7" hidden="1" x14ac:dyDescent="0.35">
      <c r="A1950" t="s">
        <v>22</v>
      </c>
      <c r="B1950" t="s">
        <v>46</v>
      </c>
      <c r="C1950" t="s">
        <v>58</v>
      </c>
      <c r="D1950">
        <v>2023</v>
      </c>
      <c r="E1950" t="s">
        <v>98</v>
      </c>
      <c r="F1950">
        <v>236</v>
      </c>
      <c r="G1950" t="s">
        <v>145</v>
      </c>
    </row>
    <row r="1951" spans="1:7" hidden="1" x14ac:dyDescent="0.35">
      <c r="A1951" t="s">
        <v>22</v>
      </c>
      <c r="B1951" t="s">
        <v>46</v>
      </c>
      <c r="C1951" t="s">
        <v>58</v>
      </c>
      <c r="D1951">
        <v>2024</v>
      </c>
      <c r="E1951" t="s">
        <v>62</v>
      </c>
      <c r="F1951">
        <v>272</v>
      </c>
      <c r="G1951" t="s">
        <v>145</v>
      </c>
    </row>
    <row r="1952" spans="1:7" hidden="1" x14ac:dyDescent="0.35">
      <c r="A1952" t="s">
        <v>22</v>
      </c>
      <c r="B1952" t="s">
        <v>46</v>
      </c>
      <c r="C1952" t="s">
        <v>58</v>
      </c>
      <c r="D1952">
        <v>2024</v>
      </c>
      <c r="E1952" t="s">
        <v>98</v>
      </c>
      <c r="F1952">
        <v>263</v>
      </c>
      <c r="G1952" t="s">
        <v>145</v>
      </c>
    </row>
    <row r="1953" spans="1:7" hidden="1" x14ac:dyDescent="0.35">
      <c r="A1953" t="s">
        <v>22</v>
      </c>
      <c r="B1953" t="s">
        <v>46</v>
      </c>
      <c r="C1953" t="s">
        <v>58</v>
      </c>
      <c r="D1953">
        <v>2025</v>
      </c>
      <c r="E1953" t="s">
        <v>62</v>
      </c>
      <c r="F1953">
        <v>213</v>
      </c>
      <c r="G1953" t="s">
        <v>145</v>
      </c>
    </row>
    <row r="1954" spans="1:7" hidden="1" x14ac:dyDescent="0.35">
      <c r="A1954" t="s">
        <v>22</v>
      </c>
      <c r="B1954" t="s">
        <v>46</v>
      </c>
      <c r="C1954" t="s">
        <v>58</v>
      </c>
      <c r="D1954">
        <v>2025</v>
      </c>
      <c r="E1954" t="s">
        <v>98</v>
      </c>
      <c r="F1954">
        <v>2341</v>
      </c>
      <c r="G1954" t="s">
        <v>145</v>
      </c>
    </row>
    <row r="1955" spans="1:7" hidden="1" x14ac:dyDescent="0.35">
      <c r="A1955" t="s">
        <v>22</v>
      </c>
      <c r="B1955" t="s">
        <v>46</v>
      </c>
      <c r="C1955" t="s">
        <v>59</v>
      </c>
      <c r="D1955">
        <v>2022</v>
      </c>
      <c r="E1955" t="s">
        <v>62</v>
      </c>
      <c r="F1955">
        <v>0</v>
      </c>
      <c r="G1955" t="s">
        <v>145</v>
      </c>
    </row>
    <row r="1956" spans="1:7" hidden="1" x14ac:dyDescent="0.35">
      <c r="A1956" t="s">
        <v>22</v>
      </c>
      <c r="B1956" t="s">
        <v>46</v>
      </c>
      <c r="C1956" t="s">
        <v>59</v>
      </c>
      <c r="D1956">
        <v>2022</v>
      </c>
      <c r="E1956" t="s">
        <v>98</v>
      </c>
      <c r="F1956">
        <v>0</v>
      </c>
      <c r="G1956" t="s">
        <v>145</v>
      </c>
    </row>
    <row r="1957" spans="1:7" hidden="1" x14ac:dyDescent="0.35">
      <c r="A1957" t="s">
        <v>22</v>
      </c>
      <c r="B1957" t="s">
        <v>46</v>
      </c>
      <c r="C1957" t="s">
        <v>59</v>
      </c>
      <c r="D1957">
        <v>2023</v>
      </c>
      <c r="E1957" t="s">
        <v>62</v>
      </c>
      <c r="F1957">
        <v>0</v>
      </c>
      <c r="G1957" t="s">
        <v>145</v>
      </c>
    </row>
    <row r="1958" spans="1:7" hidden="1" x14ac:dyDescent="0.35">
      <c r="A1958" t="s">
        <v>22</v>
      </c>
      <c r="B1958" t="s">
        <v>46</v>
      </c>
      <c r="C1958" t="s">
        <v>59</v>
      </c>
      <c r="D1958">
        <v>2023</v>
      </c>
      <c r="E1958" t="s">
        <v>98</v>
      </c>
      <c r="F1958">
        <v>0</v>
      </c>
      <c r="G1958" t="s">
        <v>145</v>
      </c>
    </row>
    <row r="1959" spans="1:7" hidden="1" x14ac:dyDescent="0.35">
      <c r="A1959" t="s">
        <v>22</v>
      </c>
      <c r="B1959" t="s">
        <v>46</v>
      </c>
      <c r="C1959" t="s">
        <v>59</v>
      </c>
      <c r="D1959">
        <v>2024</v>
      </c>
      <c r="E1959" t="s">
        <v>62</v>
      </c>
      <c r="F1959">
        <v>0</v>
      </c>
      <c r="G1959" t="s">
        <v>145</v>
      </c>
    </row>
    <row r="1960" spans="1:7" hidden="1" x14ac:dyDescent="0.35">
      <c r="A1960" t="s">
        <v>22</v>
      </c>
      <c r="B1960" t="s">
        <v>46</v>
      </c>
      <c r="C1960" t="s">
        <v>59</v>
      </c>
      <c r="D1960">
        <v>2024</v>
      </c>
      <c r="E1960" t="s">
        <v>98</v>
      </c>
      <c r="F1960">
        <v>0</v>
      </c>
      <c r="G1960" t="s">
        <v>145</v>
      </c>
    </row>
    <row r="1961" spans="1:7" hidden="1" x14ac:dyDescent="0.35">
      <c r="A1961" t="s">
        <v>22</v>
      </c>
      <c r="B1961" t="s">
        <v>46</v>
      </c>
      <c r="C1961" t="s">
        <v>59</v>
      </c>
      <c r="D1961">
        <v>2025</v>
      </c>
      <c r="E1961" t="s">
        <v>62</v>
      </c>
      <c r="F1961">
        <v>0</v>
      </c>
      <c r="G1961" t="s">
        <v>145</v>
      </c>
    </row>
    <row r="1962" spans="1:7" hidden="1" x14ac:dyDescent="0.35">
      <c r="A1962" t="s">
        <v>22</v>
      </c>
      <c r="B1962" t="s">
        <v>46</v>
      </c>
      <c r="C1962" t="s">
        <v>59</v>
      </c>
      <c r="D1962">
        <v>2025</v>
      </c>
      <c r="E1962" t="s">
        <v>98</v>
      </c>
      <c r="F1962">
        <v>0</v>
      </c>
      <c r="G1962" t="s">
        <v>145</v>
      </c>
    </row>
    <row r="1963" spans="1:7" hidden="1" x14ac:dyDescent="0.35">
      <c r="A1963" t="s">
        <v>23</v>
      </c>
      <c r="B1963" t="s">
        <v>83</v>
      </c>
      <c r="C1963" t="s">
        <v>57</v>
      </c>
      <c r="D1963">
        <v>2022</v>
      </c>
      <c r="E1963" t="s">
        <v>62</v>
      </c>
      <c r="F1963">
        <v>9508</v>
      </c>
      <c r="G1963" t="s">
        <v>145</v>
      </c>
    </row>
    <row r="1964" spans="1:7" hidden="1" x14ac:dyDescent="0.35">
      <c r="A1964" t="s">
        <v>23</v>
      </c>
      <c r="B1964" t="s">
        <v>83</v>
      </c>
      <c r="C1964" t="s">
        <v>57</v>
      </c>
      <c r="D1964">
        <v>2022</v>
      </c>
      <c r="E1964" t="s">
        <v>98</v>
      </c>
      <c r="F1964">
        <v>10210</v>
      </c>
      <c r="G1964" t="s">
        <v>145</v>
      </c>
    </row>
    <row r="1965" spans="1:7" hidden="1" x14ac:dyDescent="0.35">
      <c r="A1965" t="s">
        <v>23</v>
      </c>
      <c r="B1965" t="s">
        <v>83</v>
      </c>
      <c r="C1965" t="s">
        <v>57</v>
      </c>
      <c r="D1965">
        <v>2023</v>
      </c>
      <c r="E1965" t="s">
        <v>62</v>
      </c>
      <c r="F1965">
        <v>8263</v>
      </c>
      <c r="G1965" t="s">
        <v>145</v>
      </c>
    </row>
    <row r="1966" spans="1:7" hidden="1" x14ac:dyDescent="0.35">
      <c r="A1966" t="s">
        <v>23</v>
      </c>
      <c r="B1966" t="s">
        <v>83</v>
      </c>
      <c r="C1966" t="s">
        <v>57</v>
      </c>
      <c r="D1966">
        <v>2023</v>
      </c>
      <c r="E1966" t="s">
        <v>98</v>
      </c>
      <c r="F1966">
        <v>8670</v>
      </c>
      <c r="G1966" t="s">
        <v>145</v>
      </c>
    </row>
    <row r="1967" spans="1:7" hidden="1" x14ac:dyDescent="0.35">
      <c r="A1967" t="s">
        <v>23</v>
      </c>
      <c r="B1967" t="s">
        <v>83</v>
      </c>
      <c r="C1967" t="s">
        <v>57</v>
      </c>
      <c r="D1967">
        <v>2024</v>
      </c>
      <c r="E1967" t="s">
        <v>62</v>
      </c>
      <c r="F1967">
        <v>8462</v>
      </c>
      <c r="G1967" t="s">
        <v>145</v>
      </c>
    </row>
    <row r="1968" spans="1:7" hidden="1" x14ac:dyDescent="0.35">
      <c r="A1968" t="s">
        <v>23</v>
      </c>
      <c r="B1968" t="s">
        <v>83</v>
      </c>
      <c r="C1968" t="s">
        <v>57</v>
      </c>
      <c r="D1968">
        <v>2024</v>
      </c>
      <c r="E1968" t="s">
        <v>98</v>
      </c>
      <c r="F1968">
        <v>8289</v>
      </c>
      <c r="G1968" t="s">
        <v>145</v>
      </c>
    </row>
    <row r="1969" spans="1:7" hidden="1" x14ac:dyDescent="0.35">
      <c r="A1969" t="s">
        <v>23</v>
      </c>
      <c r="B1969" t="s">
        <v>83</v>
      </c>
      <c r="C1969" t="s">
        <v>57</v>
      </c>
      <c r="D1969">
        <v>2025</v>
      </c>
      <c r="E1969" t="s">
        <v>62</v>
      </c>
      <c r="F1969">
        <v>7544</v>
      </c>
      <c r="G1969" t="s">
        <v>145</v>
      </c>
    </row>
    <row r="1970" spans="1:7" hidden="1" x14ac:dyDescent="0.35">
      <c r="A1970" t="s">
        <v>23</v>
      </c>
      <c r="B1970" t="s">
        <v>83</v>
      </c>
      <c r="C1970" t="s">
        <v>57</v>
      </c>
      <c r="D1970">
        <v>2025</v>
      </c>
      <c r="E1970" t="s">
        <v>98</v>
      </c>
      <c r="F1970">
        <v>5258</v>
      </c>
      <c r="G1970" t="s">
        <v>145</v>
      </c>
    </row>
    <row r="1971" spans="1:7" hidden="1" x14ac:dyDescent="0.35">
      <c r="A1971" t="s">
        <v>23</v>
      </c>
      <c r="B1971" t="s">
        <v>83</v>
      </c>
      <c r="C1971" t="s">
        <v>59</v>
      </c>
      <c r="D1971">
        <v>2022</v>
      </c>
      <c r="E1971" t="s">
        <v>62</v>
      </c>
      <c r="F1971">
        <v>6</v>
      </c>
      <c r="G1971" t="s">
        <v>145</v>
      </c>
    </row>
    <row r="1972" spans="1:7" hidden="1" x14ac:dyDescent="0.35">
      <c r="A1972" t="s">
        <v>23</v>
      </c>
      <c r="B1972" t="s">
        <v>83</v>
      </c>
      <c r="C1972" t="s">
        <v>59</v>
      </c>
      <c r="D1972">
        <v>2022</v>
      </c>
      <c r="E1972" t="s">
        <v>98</v>
      </c>
      <c r="F1972">
        <v>123</v>
      </c>
      <c r="G1972" t="s">
        <v>145</v>
      </c>
    </row>
    <row r="1973" spans="1:7" hidden="1" x14ac:dyDescent="0.35">
      <c r="A1973" t="s">
        <v>23</v>
      </c>
      <c r="B1973" t="s">
        <v>83</v>
      </c>
      <c r="C1973" t="s">
        <v>59</v>
      </c>
      <c r="D1973">
        <v>2023</v>
      </c>
      <c r="E1973" t="s">
        <v>62</v>
      </c>
      <c r="F1973">
        <v>6</v>
      </c>
      <c r="G1973" t="s">
        <v>145</v>
      </c>
    </row>
    <row r="1974" spans="1:7" hidden="1" x14ac:dyDescent="0.35">
      <c r="A1974" t="s">
        <v>23</v>
      </c>
      <c r="B1974" t="s">
        <v>83</v>
      </c>
      <c r="C1974" t="s">
        <v>59</v>
      </c>
      <c r="D1974">
        <v>2023</v>
      </c>
      <c r="E1974" t="s">
        <v>98</v>
      </c>
      <c r="F1974">
        <v>214</v>
      </c>
      <c r="G1974" t="s">
        <v>145</v>
      </c>
    </row>
    <row r="1975" spans="1:7" hidden="1" x14ac:dyDescent="0.35">
      <c r="A1975" t="s">
        <v>23</v>
      </c>
      <c r="B1975" t="s">
        <v>83</v>
      </c>
      <c r="C1975" t="s">
        <v>59</v>
      </c>
      <c r="D1975">
        <v>2024</v>
      </c>
      <c r="E1975" t="s">
        <v>62</v>
      </c>
      <c r="F1975">
        <v>49</v>
      </c>
      <c r="G1975" t="s">
        <v>145</v>
      </c>
    </row>
    <row r="1976" spans="1:7" hidden="1" x14ac:dyDescent="0.35">
      <c r="A1976" t="s">
        <v>23</v>
      </c>
      <c r="B1976" t="s">
        <v>83</v>
      </c>
      <c r="C1976" t="s">
        <v>59</v>
      </c>
      <c r="D1976">
        <v>2024</v>
      </c>
      <c r="E1976" t="s">
        <v>98</v>
      </c>
      <c r="F1976">
        <v>129</v>
      </c>
      <c r="G1976" t="s">
        <v>145</v>
      </c>
    </row>
    <row r="1977" spans="1:7" hidden="1" x14ac:dyDescent="0.35">
      <c r="A1977" t="s">
        <v>23</v>
      </c>
      <c r="B1977" t="s">
        <v>83</v>
      </c>
      <c r="C1977" t="s">
        <v>59</v>
      </c>
      <c r="D1977">
        <v>2025</v>
      </c>
      <c r="E1977" t="s">
        <v>62</v>
      </c>
      <c r="F1977">
        <v>170</v>
      </c>
      <c r="G1977" t="s">
        <v>145</v>
      </c>
    </row>
    <row r="1978" spans="1:7" hidden="1" x14ac:dyDescent="0.35">
      <c r="A1978" t="s">
        <v>23</v>
      </c>
      <c r="B1978" t="s">
        <v>83</v>
      </c>
      <c r="C1978" t="s">
        <v>59</v>
      </c>
      <c r="D1978">
        <v>2025</v>
      </c>
      <c r="E1978" t="s">
        <v>98</v>
      </c>
      <c r="F1978">
        <v>40</v>
      </c>
      <c r="G1978" t="s">
        <v>145</v>
      </c>
    </row>
    <row r="1979" spans="1:7" hidden="1" x14ac:dyDescent="0.35">
      <c r="A1979" t="s">
        <v>24</v>
      </c>
      <c r="B1979" t="s">
        <v>84</v>
      </c>
      <c r="C1979" t="s">
        <v>57</v>
      </c>
      <c r="D1979">
        <v>2022</v>
      </c>
      <c r="E1979" t="s">
        <v>62</v>
      </c>
      <c r="F1979">
        <v>1268</v>
      </c>
      <c r="G1979" t="s">
        <v>145</v>
      </c>
    </row>
    <row r="1980" spans="1:7" hidden="1" x14ac:dyDescent="0.35">
      <c r="A1980" t="s">
        <v>24</v>
      </c>
      <c r="B1980" t="s">
        <v>84</v>
      </c>
      <c r="C1980" t="s">
        <v>57</v>
      </c>
      <c r="D1980">
        <v>2022</v>
      </c>
      <c r="E1980" t="s">
        <v>98</v>
      </c>
      <c r="F1980">
        <v>1524</v>
      </c>
      <c r="G1980" t="s">
        <v>145</v>
      </c>
    </row>
    <row r="1981" spans="1:7" hidden="1" x14ac:dyDescent="0.35">
      <c r="A1981" t="s">
        <v>24</v>
      </c>
      <c r="B1981" t="s">
        <v>84</v>
      </c>
      <c r="C1981" t="s">
        <v>57</v>
      </c>
      <c r="D1981">
        <v>2023</v>
      </c>
      <c r="E1981" t="s">
        <v>62</v>
      </c>
      <c r="F1981">
        <v>1323</v>
      </c>
      <c r="G1981" t="s">
        <v>145</v>
      </c>
    </row>
    <row r="1982" spans="1:7" hidden="1" x14ac:dyDescent="0.35">
      <c r="A1982" t="s">
        <v>24</v>
      </c>
      <c r="B1982" t="s">
        <v>84</v>
      </c>
      <c r="C1982" t="s">
        <v>57</v>
      </c>
      <c r="D1982">
        <v>2023</v>
      </c>
      <c r="E1982" t="s">
        <v>98</v>
      </c>
      <c r="F1982">
        <v>1800</v>
      </c>
      <c r="G1982" t="s">
        <v>145</v>
      </c>
    </row>
    <row r="1983" spans="1:7" hidden="1" x14ac:dyDescent="0.35">
      <c r="A1983" t="s">
        <v>24</v>
      </c>
      <c r="B1983" t="s">
        <v>84</v>
      </c>
      <c r="C1983" t="s">
        <v>57</v>
      </c>
      <c r="D1983">
        <v>2024</v>
      </c>
      <c r="E1983" t="s">
        <v>62</v>
      </c>
      <c r="F1983">
        <v>1375</v>
      </c>
      <c r="G1983" t="s">
        <v>145</v>
      </c>
    </row>
    <row r="1984" spans="1:7" hidden="1" x14ac:dyDescent="0.35">
      <c r="A1984" t="s">
        <v>24</v>
      </c>
      <c r="B1984" t="s">
        <v>84</v>
      </c>
      <c r="C1984" t="s">
        <v>57</v>
      </c>
      <c r="D1984">
        <v>2024</v>
      </c>
      <c r="E1984" t="s">
        <v>98</v>
      </c>
      <c r="F1984">
        <v>1742</v>
      </c>
      <c r="G1984" t="s">
        <v>145</v>
      </c>
    </row>
    <row r="1985" spans="1:7" hidden="1" x14ac:dyDescent="0.35">
      <c r="A1985" t="s">
        <v>24</v>
      </c>
      <c r="B1985" t="s">
        <v>84</v>
      </c>
      <c r="C1985" t="s">
        <v>57</v>
      </c>
      <c r="D1985">
        <v>2025</v>
      </c>
      <c r="E1985" t="s">
        <v>62</v>
      </c>
      <c r="F1985">
        <v>1334</v>
      </c>
      <c r="G1985" t="s">
        <v>145</v>
      </c>
    </row>
    <row r="1986" spans="1:7" hidden="1" x14ac:dyDescent="0.35">
      <c r="A1986" t="s">
        <v>24</v>
      </c>
      <c r="B1986" t="s">
        <v>84</v>
      </c>
      <c r="C1986" t="s">
        <v>57</v>
      </c>
      <c r="D1986">
        <v>2025</v>
      </c>
      <c r="E1986" t="s">
        <v>98</v>
      </c>
      <c r="F1986">
        <v>0</v>
      </c>
      <c r="G1986" t="s">
        <v>145</v>
      </c>
    </row>
    <row r="1987" spans="1:7" hidden="1" x14ac:dyDescent="0.35">
      <c r="A1987" t="s">
        <v>24</v>
      </c>
      <c r="B1987" t="s">
        <v>84</v>
      </c>
      <c r="C1987" t="s">
        <v>58</v>
      </c>
      <c r="D1987">
        <v>2022</v>
      </c>
      <c r="E1987" t="s">
        <v>62</v>
      </c>
      <c r="F1987">
        <v>35</v>
      </c>
      <c r="G1987" t="s">
        <v>145</v>
      </c>
    </row>
    <row r="1988" spans="1:7" hidden="1" x14ac:dyDescent="0.35">
      <c r="A1988" t="s">
        <v>24</v>
      </c>
      <c r="B1988" t="s">
        <v>84</v>
      </c>
      <c r="C1988" t="s">
        <v>58</v>
      </c>
      <c r="D1988">
        <v>2022</v>
      </c>
      <c r="E1988" t="s">
        <v>98</v>
      </c>
      <c r="F1988">
        <v>24</v>
      </c>
      <c r="G1988" t="s">
        <v>145</v>
      </c>
    </row>
    <row r="1989" spans="1:7" hidden="1" x14ac:dyDescent="0.35">
      <c r="A1989" t="s">
        <v>24</v>
      </c>
      <c r="B1989" t="s">
        <v>84</v>
      </c>
      <c r="C1989" t="s">
        <v>58</v>
      </c>
      <c r="D1989">
        <v>2023</v>
      </c>
      <c r="E1989" t="s">
        <v>62</v>
      </c>
      <c r="F1989">
        <v>39</v>
      </c>
      <c r="G1989" t="s">
        <v>145</v>
      </c>
    </row>
    <row r="1990" spans="1:7" hidden="1" x14ac:dyDescent="0.35">
      <c r="A1990" t="s">
        <v>24</v>
      </c>
      <c r="B1990" t="s">
        <v>84</v>
      </c>
      <c r="C1990" t="s">
        <v>58</v>
      </c>
      <c r="D1990">
        <v>2023</v>
      </c>
      <c r="E1990" t="s">
        <v>98</v>
      </c>
      <c r="F1990">
        <v>50</v>
      </c>
      <c r="G1990" t="s">
        <v>145</v>
      </c>
    </row>
    <row r="1991" spans="1:7" hidden="1" x14ac:dyDescent="0.35">
      <c r="A1991" t="s">
        <v>24</v>
      </c>
      <c r="B1991" t="s">
        <v>84</v>
      </c>
      <c r="C1991" t="s">
        <v>58</v>
      </c>
      <c r="D1991">
        <v>2024</v>
      </c>
      <c r="E1991" t="s">
        <v>62</v>
      </c>
      <c r="F1991">
        <v>47</v>
      </c>
      <c r="G1991" t="s">
        <v>145</v>
      </c>
    </row>
    <row r="1992" spans="1:7" hidden="1" x14ac:dyDescent="0.35">
      <c r="A1992" t="s">
        <v>24</v>
      </c>
      <c r="B1992" t="s">
        <v>84</v>
      </c>
      <c r="C1992" t="s">
        <v>58</v>
      </c>
      <c r="D1992">
        <v>2024</v>
      </c>
      <c r="E1992" t="s">
        <v>98</v>
      </c>
      <c r="F1992">
        <v>43</v>
      </c>
      <c r="G1992" t="s">
        <v>145</v>
      </c>
    </row>
    <row r="1993" spans="1:7" hidden="1" x14ac:dyDescent="0.35">
      <c r="A1993" t="s">
        <v>24</v>
      </c>
      <c r="B1993" t="s">
        <v>84</v>
      </c>
      <c r="C1993" t="s">
        <v>58</v>
      </c>
      <c r="D1993">
        <v>2025</v>
      </c>
      <c r="E1993" t="s">
        <v>62</v>
      </c>
      <c r="F1993">
        <v>81</v>
      </c>
      <c r="G1993" t="s">
        <v>145</v>
      </c>
    </row>
    <row r="1994" spans="1:7" hidden="1" x14ac:dyDescent="0.35">
      <c r="A1994" t="s">
        <v>24</v>
      </c>
      <c r="B1994" t="s">
        <v>84</v>
      </c>
      <c r="C1994" t="s">
        <v>58</v>
      </c>
      <c r="D1994">
        <v>2025</v>
      </c>
      <c r="E1994" t="s">
        <v>98</v>
      </c>
      <c r="F1994">
        <v>4289</v>
      </c>
      <c r="G1994" t="s">
        <v>145</v>
      </c>
    </row>
    <row r="1995" spans="1:7" hidden="1" x14ac:dyDescent="0.35">
      <c r="A1995" t="s">
        <v>24</v>
      </c>
      <c r="B1995" t="s">
        <v>84</v>
      </c>
      <c r="C1995" t="s">
        <v>59</v>
      </c>
      <c r="D1995">
        <v>2022</v>
      </c>
      <c r="E1995" t="s">
        <v>62</v>
      </c>
      <c r="F1995">
        <v>128</v>
      </c>
      <c r="G1995" t="s">
        <v>145</v>
      </c>
    </row>
    <row r="1996" spans="1:7" hidden="1" x14ac:dyDescent="0.35">
      <c r="A1996" t="s">
        <v>24</v>
      </c>
      <c r="B1996" t="s">
        <v>84</v>
      </c>
      <c r="C1996" t="s">
        <v>59</v>
      </c>
      <c r="D1996">
        <v>2022</v>
      </c>
      <c r="E1996" t="s">
        <v>98</v>
      </c>
      <c r="F1996">
        <v>145</v>
      </c>
      <c r="G1996" t="s">
        <v>145</v>
      </c>
    </row>
    <row r="1997" spans="1:7" hidden="1" x14ac:dyDescent="0.35">
      <c r="A1997" t="s">
        <v>24</v>
      </c>
      <c r="B1997" t="s">
        <v>84</v>
      </c>
      <c r="C1997" t="s">
        <v>59</v>
      </c>
      <c r="D1997">
        <v>2023</v>
      </c>
      <c r="E1997" t="s">
        <v>62</v>
      </c>
      <c r="F1997">
        <v>108</v>
      </c>
      <c r="G1997" t="s">
        <v>145</v>
      </c>
    </row>
    <row r="1998" spans="1:7" hidden="1" x14ac:dyDescent="0.35">
      <c r="A1998" t="s">
        <v>24</v>
      </c>
      <c r="B1998" t="s">
        <v>84</v>
      </c>
      <c r="C1998" t="s">
        <v>59</v>
      </c>
      <c r="D1998">
        <v>2023</v>
      </c>
      <c r="E1998" t="s">
        <v>98</v>
      </c>
      <c r="F1998">
        <v>124</v>
      </c>
      <c r="G1998" t="s">
        <v>145</v>
      </c>
    </row>
    <row r="1999" spans="1:7" hidden="1" x14ac:dyDescent="0.35">
      <c r="A1999" t="s">
        <v>24</v>
      </c>
      <c r="B1999" t="s">
        <v>84</v>
      </c>
      <c r="C1999" t="s">
        <v>59</v>
      </c>
      <c r="D1999">
        <v>2024</v>
      </c>
      <c r="E1999" t="s">
        <v>62</v>
      </c>
      <c r="F1999">
        <v>136</v>
      </c>
      <c r="G1999" t="s">
        <v>145</v>
      </c>
    </row>
    <row r="2000" spans="1:7" hidden="1" x14ac:dyDescent="0.35">
      <c r="A2000" t="s">
        <v>24</v>
      </c>
      <c r="B2000" t="s">
        <v>84</v>
      </c>
      <c r="C2000" t="s">
        <v>59</v>
      </c>
      <c r="D2000">
        <v>2024</v>
      </c>
      <c r="E2000" t="s">
        <v>98</v>
      </c>
      <c r="F2000">
        <v>148</v>
      </c>
      <c r="G2000" t="s">
        <v>145</v>
      </c>
    </row>
    <row r="2001" spans="1:7" hidden="1" x14ac:dyDescent="0.35">
      <c r="A2001" t="s">
        <v>24</v>
      </c>
      <c r="B2001" t="s">
        <v>84</v>
      </c>
      <c r="C2001" t="s">
        <v>59</v>
      </c>
      <c r="D2001">
        <v>2025</v>
      </c>
      <c r="E2001" t="s">
        <v>62</v>
      </c>
      <c r="F2001">
        <v>115</v>
      </c>
      <c r="G2001" t="s">
        <v>145</v>
      </c>
    </row>
    <row r="2002" spans="1:7" hidden="1" x14ac:dyDescent="0.35">
      <c r="A2002" t="s">
        <v>24</v>
      </c>
      <c r="B2002" t="s">
        <v>84</v>
      </c>
      <c r="C2002" t="s">
        <v>59</v>
      </c>
      <c r="D2002">
        <v>2025</v>
      </c>
      <c r="E2002" t="s">
        <v>98</v>
      </c>
      <c r="F2002">
        <v>172</v>
      </c>
      <c r="G2002" t="s">
        <v>145</v>
      </c>
    </row>
    <row r="2003" spans="1:7" hidden="1" x14ac:dyDescent="0.35">
      <c r="A2003" t="s">
        <v>25</v>
      </c>
      <c r="B2003" t="s">
        <v>85</v>
      </c>
      <c r="C2003" t="s">
        <v>57</v>
      </c>
      <c r="D2003">
        <v>2022</v>
      </c>
      <c r="E2003" t="s">
        <v>62</v>
      </c>
      <c r="F2003">
        <v>426</v>
      </c>
      <c r="G2003" t="s">
        <v>145</v>
      </c>
    </row>
    <row r="2004" spans="1:7" hidden="1" x14ac:dyDescent="0.35">
      <c r="A2004" t="s">
        <v>25</v>
      </c>
      <c r="B2004" t="s">
        <v>85</v>
      </c>
      <c r="C2004" t="s">
        <v>57</v>
      </c>
      <c r="D2004">
        <v>2022</v>
      </c>
      <c r="E2004" t="s">
        <v>98</v>
      </c>
      <c r="F2004">
        <v>610</v>
      </c>
      <c r="G2004" t="s">
        <v>145</v>
      </c>
    </row>
    <row r="2005" spans="1:7" hidden="1" x14ac:dyDescent="0.35">
      <c r="A2005" t="s">
        <v>25</v>
      </c>
      <c r="B2005" t="s">
        <v>85</v>
      </c>
      <c r="C2005" t="s">
        <v>57</v>
      </c>
      <c r="D2005">
        <v>2023</v>
      </c>
      <c r="E2005" t="s">
        <v>62</v>
      </c>
      <c r="F2005">
        <v>593</v>
      </c>
      <c r="G2005" t="s">
        <v>145</v>
      </c>
    </row>
    <row r="2006" spans="1:7" hidden="1" x14ac:dyDescent="0.35">
      <c r="A2006" t="s">
        <v>25</v>
      </c>
      <c r="B2006" t="s">
        <v>85</v>
      </c>
      <c r="C2006" t="s">
        <v>57</v>
      </c>
      <c r="D2006">
        <v>2023</v>
      </c>
      <c r="E2006" t="s">
        <v>98</v>
      </c>
      <c r="F2006">
        <v>581</v>
      </c>
      <c r="G2006" t="s">
        <v>145</v>
      </c>
    </row>
    <row r="2007" spans="1:7" hidden="1" x14ac:dyDescent="0.35">
      <c r="A2007" t="s">
        <v>25</v>
      </c>
      <c r="B2007" t="s">
        <v>85</v>
      </c>
      <c r="C2007" t="s">
        <v>57</v>
      </c>
      <c r="D2007">
        <v>2024</v>
      </c>
      <c r="E2007" t="s">
        <v>62</v>
      </c>
      <c r="F2007">
        <v>597</v>
      </c>
      <c r="G2007" t="s">
        <v>145</v>
      </c>
    </row>
    <row r="2008" spans="1:7" hidden="1" x14ac:dyDescent="0.35">
      <c r="A2008" t="s">
        <v>25</v>
      </c>
      <c r="B2008" t="s">
        <v>85</v>
      </c>
      <c r="C2008" t="s">
        <v>57</v>
      </c>
      <c r="D2008">
        <v>2024</v>
      </c>
      <c r="E2008" t="s">
        <v>98</v>
      </c>
      <c r="F2008">
        <v>667</v>
      </c>
      <c r="G2008" t="s">
        <v>145</v>
      </c>
    </row>
    <row r="2009" spans="1:7" hidden="1" x14ac:dyDescent="0.35">
      <c r="A2009" t="s">
        <v>25</v>
      </c>
      <c r="B2009" t="s">
        <v>85</v>
      </c>
      <c r="C2009" t="s">
        <v>57</v>
      </c>
      <c r="D2009">
        <v>2025</v>
      </c>
      <c r="E2009" t="s">
        <v>62</v>
      </c>
      <c r="F2009">
        <v>653</v>
      </c>
      <c r="G2009" t="s">
        <v>145</v>
      </c>
    </row>
    <row r="2010" spans="1:7" hidden="1" x14ac:dyDescent="0.35">
      <c r="A2010" t="s">
        <v>25</v>
      </c>
      <c r="B2010" t="s">
        <v>85</v>
      </c>
      <c r="C2010" t="s">
        <v>57</v>
      </c>
      <c r="D2010">
        <v>2025</v>
      </c>
      <c r="E2010" t="s">
        <v>98</v>
      </c>
      <c r="F2010">
        <v>7582</v>
      </c>
      <c r="G2010" t="s">
        <v>145</v>
      </c>
    </row>
    <row r="2011" spans="1:7" hidden="1" x14ac:dyDescent="0.35">
      <c r="A2011" t="s">
        <v>25</v>
      </c>
      <c r="B2011" t="s">
        <v>85</v>
      </c>
      <c r="C2011" t="s">
        <v>58</v>
      </c>
      <c r="D2011">
        <v>2022</v>
      </c>
      <c r="E2011" t="s">
        <v>62</v>
      </c>
      <c r="F2011">
        <v>39</v>
      </c>
      <c r="G2011" t="s">
        <v>145</v>
      </c>
    </row>
    <row r="2012" spans="1:7" hidden="1" x14ac:dyDescent="0.35">
      <c r="A2012" t="s">
        <v>25</v>
      </c>
      <c r="B2012" t="s">
        <v>85</v>
      </c>
      <c r="C2012" t="s">
        <v>58</v>
      </c>
      <c r="D2012">
        <v>2022</v>
      </c>
      <c r="E2012" t="s">
        <v>98</v>
      </c>
      <c r="F2012">
        <v>54</v>
      </c>
      <c r="G2012" t="s">
        <v>145</v>
      </c>
    </row>
    <row r="2013" spans="1:7" hidden="1" x14ac:dyDescent="0.35">
      <c r="A2013" t="s">
        <v>25</v>
      </c>
      <c r="B2013" t="s">
        <v>85</v>
      </c>
      <c r="C2013" t="s">
        <v>58</v>
      </c>
      <c r="D2013">
        <v>2023</v>
      </c>
      <c r="E2013" t="s">
        <v>62</v>
      </c>
      <c r="F2013">
        <v>69</v>
      </c>
      <c r="G2013" t="s">
        <v>145</v>
      </c>
    </row>
    <row r="2014" spans="1:7" hidden="1" x14ac:dyDescent="0.35">
      <c r="A2014" t="s">
        <v>25</v>
      </c>
      <c r="B2014" t="s">
        <v>85</v>
      </c>
      <c r="C2014" t="s">
        <v>58</v>
      </c>
      <c r="D2014">
        <v>2023</v>
      </c>
      <c r="E2014" t="s">
        <v>98</v>
      </c>
      <c r="F2014">
        <v>99</v>
      </c>
      <c r="G2014" t="s">
        <v>145</v>
      </c>
    </row>
    <row r="2015" spans="1:7" hidden="1" x14ac:dyDescent="0.35">
      <c r="A2015" t="s">
        <v>25</v>
      </c>
      <c r="B2015" t="s">
        <v>85</v>
      </c>
      <c r="C2015" t="s">
        <v>58</v>
      </c>
      <c r="D2015">
        <v>2024</v>
      </c>
      <c r="E2015" t="s">
        <v>62</v>
      </c>
      <c r="F2015">
        <v>55</v>
      </c>
      <c r="G2015" t="s">
        <v>145</v>
      </c>
    </row>
    <row r="2016" spans="1:7" hidden="1" x14ac:dyDescent="0.35">
      <c r="A2016" t="s">
        <v>25</v>
      </c>
      <c r="B2016" t="s">
        <v>85</v>
      </c>
      <c r="C2016" t="s">
        <v>58</v>
      </c>
      <c r="D2016">
        <v>2024</v>
      </c>
      <c r="E2016" t="s">
        <v>98</v>
      </c>
      <c r="F2016">
        <v>79</v>
      </c>
      <c r="G2016" t="s">
        <v>145</v>
      </c>
    </row>
    <row r="2017" spans="1:7" hidden="1" x14ac:dyDescent="0.35">
      <c r="A2017" t="s">
        <v>25</v>
      </c>
      <c r="B2017" t="s">
        <v>85</v>
      </c>
      <c r="C2017" t="s">
        <v>58</v>
      </c>
      <c r="D2017">
        <v>2025</v>
      </c>
      <c r="E2017" t="s">
        <v>62</v>
      </c>
      <c r="F2017">
        <v>258</v>
      </c>
      <c r="G2017" t="s">
        <v>145</v>
      </c>
    </row>
    <row r="2018" spans="1:7" hidden="1" x14ac:dyDescent="0.35">
      <c r="A2018" t="s">
        <v>25</v>
      </c>
      <c r="B2018" t="s">
        <v>85</v>
      </c>
      <c r="C2018" t="s">
        <v>58</v>
      </c>
      <c r="D2018">
        <v>2025</v>
      </c>
      <c r="E2018" t="s">
        <v>98</v>
      </c>
      <c r="F2018">
        <v>-549</v>
      </c>
      <c r="G2018" t="s">
        <v>145</v>
      </c>
    </row>
    <row r="2019" spans="1:7" hidden="1" x14ac:dyDescent="0.35">
      <c r="A2019" t="s">
        <v>25</v>
      </c>
      <c r="B2019" t="s">
        <v>85</v>
      </c>
      <c r="C2019" t="s">
        <v>59</v>
      </c>
      <c r="D2019">
        <v>2022</v>
      </c>
      <c r="E2019" t="s">
        <v>62</v>
      </c>
      <c r="F2019">
        <v>78</v>
      </c>
      <c r="G2019" t="s">
        <v>145</v>
      </c>
    </row>
    <row r="2020" spans="1:7" hidden="1" x14ac:dyDescent="0.35">
      <c r="A2020" t="s">
        <v>25</v>
      </c>
      <c r="B2020" t="s">
        <v>85</v>
      </c>
      <c r="C2020" t="s">
        <v>59</v>
      </c>
      <c r="D2020">
        <v>2022</v>
      </c>
      <c r="E2020" t="s">
        <v>98</v>
      </c>
      <c r="F2020">
        <v>68</v>
      </c>
      <c r="G2020" t="s">
        <v>145</v>
      </c>
    </row>
    <row r="2021" spans="1:7" hidden="1" x14ac:dyDescent="0.35">
      <c r="A2021" t="s">
        <v>25</v>
      </c>
      <c r="B2021" t="s">
        <v>85</v>
      </c>
      <c r="C2021" t="s">
        <v>59</v>
      </c>
      <c r="D2021">
        <v>2023</v>
      </c>
      <c r="E2021" t="s">
        <v>62</v>
      </c>
      <c r="F2021">
        <v>73</v>
      </c>
      <c r="G2021" t="s">
        <v>145</v>
      </c>
    </row>
    <row r="2022" spans="1:7" hidden="1" x14ac:dyDescent="0.35">
      <c r="A2022" t="s">
        <v>25</v>
      </c>
      <c r="B2022" t="s">
        <v>85</v>
      </c>
      <c r="C2022" t="s">
        <v>59</v>
      </c>
      <c r="D2022">
        <v>2023</v>
      </c>
      <c r="E2022" t="s">
        <v>98</v>
      </c>
      <c r="F2022">
        <v>79</v>
      </c>
      <c r="G2022" t="s">
        <v>145</v>
      </c>
    </row>
    <row r="2023" spans="1:7" hidden="1" x14ac:dyDescent="0.35">
      <c r="A2023" t="s">
        <v>25</v>
      </c>
      <c r="B2023" t="s">
        <v>85</v>
      </c>
      <c r="C2023" t="s">
        <v>59</v>
      </c>
      <c r="D2023">
        <v>2024</v>
      </c>
      <c r="E2023" t="s">
        <v>62</v>
      </c>
      <c r="F2023">
        <v>78</v>
      </c>
      <c r="G2023" t="s">
        <v>145</v>
      </c>
    </row>
    <row r="2024" spans="1:7" hidden="1" x14ac:dyDescent="0.35">
      <c r="A2024" t="s">
        <v>25</v>
      </c>
      <c r="B2024" t="s">
        <v>85</v>
      </c>
      <c r="C2024" t="s">
        <v>59</v>
      </c>
      <c r="D2024">
        <v>2024</v>
      </c>
      <c r="E2024" t="s">
        <v>98</v>
      </c>
      <c r="F2024">
        <v>78</v>
      </c>
      <c r="G2024" t="s">
        <v>145</v>
      </c>
    </row>
    <row r="2025" spans="1:7" hidden="1" x14ac:dyDescent="0.35">
      <c r="A2025" t="s">
        <v>25</v>
      </c>
      <c r="B2025" t="s">
        <v>85</v>
      </c>
      <c r="C2025" t="s">
        <v>59</v>
      </c>
      <c r="D2025">
        <v>2025</v>
      </c>
      <c r="E2025" t="s">
        <v>62</v>
      </c>
      <c r="F2025">
        <v>85</v>
      </c>
      <c r="G2025" t="s">
        <v>145</v>
      </c>
    </row>
    <row r="2026" spans="1:7" hidden="1" x14ac:dyDescent="0.35">
      <c r="A2026" t="s">
        <v>25</v>
      </c>
      <c r="B2026" t="s">
        <v>85</v>
      </c>
      <c r="C2026" t="s">
        <v>59</v>
      </c>
      <c r="D2026">
        <v>2025</v>
      </c>
      <c r="E2026" t="s">
        <v>98</v>
      </c>
      <c r="F2026">
        <v>104</v>
      </c>
      <c r="G2026" t="s">
        <v>145</v>
      </c>
    </row>
    <row r="2027" spans="1:7" hidden="1" x14ac:dyDescent="0.35">
      <c r="A2027" t="s">
        <v>26</v>
      </c>
      <c r="B2027" t="s">
        <v>86</v>
      </c>
      <c r="C2027" t="s">
        <v>57</v>
      </c>
      <c r="D2027">
        <v>2023</v>
      </c>
      <c r="E2027" t="s">
        <v>98</v>
      </c>
      <c r="F2027">
        <v>577</v>
      </c>
      <c r="G2027" t="s">
        <v>145</v>
      </c>
    </row>
    <row r="2028" spans="1:7" hidden="1" x14ac:dyDescent="0.35">
      <c r="A2028" t="s">
        <v>26</v>
      </c>
      <c r="B2028" t="s">
        <v>86</v>
      </c>
      <c r="C2028" t="s">
        <v>57</v>
      </c>
      <c r="D2028">
        <v>2024</v>
      </c>
      <c r="E2028" t="s">
        <v>62</v>
      </c>
      <c r="F2028">
        <v>1116</v>
      </c>
      <c r="G2028" t="s">
        <v>145</v>
      </c>
    </row>
    <row r="2029" spans="1:7" hidden="1" x14ac:dyDescent="0.35">
      <c r="A2029" t="s">
        <v>26</v>
      </c>
      <c r="B2029" t="s">
        <v>86</v>
      </c>
      <c r="C2029" t="s">
        <v>57</v>
      </c>
      <c r="D2029">
        <v>2024</v>
      </c>
      <c r="E2029" t="s">
        <v>98</v>
      </c>
      <c r="F2029">
        <v>1211</v>
      </c>
      <c r="G2029" t="s">
        <v>145</v>
      </c>
    </row>
    <row r="2030" spans="1:7" hidden="1" x14ac:dyDescent="0.35">
      <c r="A2030" t="s">
        <v>26</v>
      </c>
      <c r="B2030" t="s">
        <v>86</v>
      </c>
      <c r="C2030" t="s">
        <v>57</v>
      </c>
      <c r="D2030">
        <v>2025</v>
      </c>
      <c r="E2030" t="s">
        <v>62</v>
      </c>
      <c r="F2030">
        <v>1120</v>
      </c>
      <c r="G2030" t="s">
        <v>145</v>
      </c>
    </row>
    <row r="2031" spans="1:7" hidden="1" x14ac:dyDescent="0.35">
      <c r="A2031" t="s">
        <v>26</v>
      </c>
      <c r="B2031" t="s">
        <v>86</v>
      </c>
      <c r="C2031" t="s">
        <v>57</v>
      </c>
      <c r="D2031">
        <v>2025</v>
      </c>
      <c r="E2031" t="s">
        <v>98</v>
      </c>
      <c r="F2031">
        <v>268</v>
      </c>
      <c r="G2031" t="s">
        <v>145</v>
      </c>
    </row>
    <row r="2032" spans="1:7" hidden="1" x14ac:dyDescent="0.35">
      <c r="A2032" t="s">
        <v>26</v>
      </c>
      <c r="B2032" t="s">
        <v>86</v>
      </c>
      <c r="C2032" t="s">
        <v>58</v>
      </c>
      <c r="D2032">
        <v>2023</v>
      </c>
      <c r="E2032" t="s">
        <v>98</v>
      </c>
      <c r="F2032">
        <v>24</v>
      </c>
      <c r="G2032" t="s">
        <v>145</v>
      </c>
    </row>
    <row r="2033" spans="1:7" hidden="1" x14ac:dyDescent="0.35">
      <c r="A2033" t="s">
        <v>26</v>
      </c>
      <c r="B2033" t="s">
        <v>86</v>
      </c>
      <c r="C2033" t="s">
        <v>58</v>
      </c>
      <c r="D2033">
        <v>2024</v>
      </c>
      <c r="E2033" t="s">
        <v>62</v>
      </c>
      <c r="F2033">
        <v>68</v>
      </c>
      <c r="G2033" t="s">
        <v>145</v>
      </c>
    </row>
    <row r="2034" spans="1:7" hidden="1" x14ac:dyDescent="0.35">
      <c r="A2034" t="s">
        <v>26</v>
      </c>
      <c r="B2034" t="s">
        <v>86</v>
      </c>
      <c r="C2034" t="s">
        <v>58</v>
      </c>
      <c r="D2034">
        <v>2024</v>
      </c>
      <c r="E2034" t="s">
        <v>98</v>
      </c>
      <c r="F2034">
        <v>40</v>
      </c>
      <c r="G2034" t="s">
        <v>145</v>
      </c>
    </row>
    <row r="2035" spans="1:7" hidden="1" x14ac:dyDescent="0.35">
      <c r="A2035" t="s">
        <v>26</v>
      </c>
      <c r="B2035" t="s">
        <v>86</v>
      </c>
      <c r="C2035" t="s">
        <v>58</v>
      </c>
      <c r="D2035">
        <v>2025</v>
      </c>
      <c r="E2035" t="s">
        <v>62</v>
      </c>
      <c r="F2035">
        <v>22</v>
      </c>
      <c r="G2035" t="s">
        <v>145</v>
      </c>
    </row>
    <row r="2036" spans="1:7" hidden="1" x14ac:dyDescent="0.35">
      <c r="A2036" t="s">
        <v>26</v>
      </c>
      <c r="B2036" t="s">
        <v>86</v>
      </c>
      <c r="C2036" t="s">
        <v>58</v>
      </c>
      <c r="D2036">
        <v>2025</v>
      </c>
      <c r="E2036" t="s">
        <v>98</v>
      </c>
      <c r="F2036">
        <v>0</v>
      </c>
      <c r="G2036" t="s">
        <v>145</v>
      </c>
    </row>
    <row r="2037" spans="1:7" hidden="1" x14ac:dyDescent="0.35">
      <c r="A2037" t="s">
        <v>26</v>
      </c>
      <c r="B2037" t="s">
        <v>86</v>
      </c>
      <c r="C2037" t="s">
        <v>59</v>
      </c>
      <c r="D2037">
        <v>2023</v>
      </c>
      <c r="E2037" t="s">
        <v>98</v>
      </c>
      <c r="F2037">
        <v>568</v>
      </c>
      <c r="G2037" t="s">
        <v>145</v>
      </c>
    </row>
    <row r="2038" spans="1:7" hidden="1" x14ac:dyDescent="0.35">
      <c r="A2038" t="s">
        <v>26</v>
      </c>
      <c r="B2038" t="s">
        <v>86</v>
      </c>
      <c r="C2038" t="s">
        <v>59</v>
      </c>
      <c r="D2038">
        <v>2024</v>
      </c>
      <c r="E2038" t="s">
        <v>62</v>
      </c>
      <c r="F2038">
        <v>0</v>
      </c>
      <c r="G2038" t="s">
        <v>145</v>
      </c>
    </row>
    <row r="2039" spans="1:7" hidden="1" x14ac:dyDescent="0.35">
      <c r="A2039" t="s">
        <v>26</v>
      </c>
      <c r="B2039" t="s">
        <v>86</v>
      </c>
      <c r="C2039" t="s">
        <v>59</v>
      </c>
      <c r="D2039">
        <v>2024</v>
      </c>
      <c r="E2039" t="s">
        <v>98</v>
      </c>
      <c r="F2039">
        <v>0</v>
      </c>
      <c r="G2039" t="s">
        <v>145</v>
      </c>
    </row>
    <row r="2040" spans="1:7" hidden="1" x14ac:dyDescent="0.35">
      <c r="A2040" t="s">
        <v>26</v>
      </c>
      <c r="B2040" t="s">
        <v>86</v>
      </c>
      <c r="C2040" t="s">
        <v>59</v>
      </c>
      <c r="D2040">
        <v>2025</v>
      </c>
      <c r="E2040" t="s">
        <v>62</v>
      </c>
      <c r="F2040">
        <v>755</v>
      </c>
      <c r="G2040" t="s">
        <v>145</v>
      </c>
    </row>
    <row r="2041" spans="1:7" hidden="1" x14ac:dyDescent="0.35">
      <c r="A2041" t="s">
        <v>26</v>
      </c>
      <c r="B2041" t="s">
        <v>86</v>
      </c>
      <c r="C2041" t="s">
        <v>59</v>
      </c>
      <c r="D2041">
        <v>2025</v>
      </c>
      <c r="E2041" t="s">
        <v>98</v>
      </c>
      <c r="F2041">
        <v>1012</v>
      </c>
      <c r="G2041" t="s">
        <v>145</v>
      </c>
    </row>
    <row r="2042" spans="1:7" hidden="1" x14ac:dyDescent="0.35">
      <c r="A2042" t="s">
        <v>27</v>
      </c>
      <c r="B2042" t="s">
        <v>87</v>
      </c>
      <c r="C2042" t="s">
        <v>57</v>
      </c>
      <c r="D2042">
        <v>2022</v>
      </c>
      <c r="E2042" t="s">
        <v>62</v>
      </c>
      <c r="F2042">
        <v>1993</v>
      </c>
      <c r="G2042" t="s">
        <v>145</v>
      </c>
    </row>
    <row r="2043" spans="1:7" hidden="1" x14ac:dyDescent="0.35">
      <c r="A2043" t="s">
        <v>27</v>
      </c>
      <c r="B2043" t="s">
        <v>87</v>
      </c>
      <c r="C2043" t="s">
        <v>57</v>
      </c>
      <c r="D2043">
        <v>2022</v>
      </c>
      <c r="E2043" t="s">
        <v>98</v>
      </c>
      <c r="F2043">
        <v>1955</v>
      </c>
      <c r="G2043" t="s">
        <v>145</v>
      </c>
    </row>
    <row r="2044" spans="1:7" hidden="1" x14ac:dyDescent="0.35">
      <c r="A2044" t="s">
        <v>27</v>
      </c>
      <c r="B2044" t="s">
        <v>87</v>
      </c>
      <c r="C2044" t="s">
        <v>57</v>
      </c>
      <c r="D2044">
        <v>2023</v>
      </c>
      <c r="E2044" t="s">
        <v>62</v>
      </c>
      <c r="F2044">
        <v>2119</v>
      </c>
      <c r="G2044" t="s">
        <v>145</v>
      </c>
    </row>
    <row r="2045" spans="1:7" hidden="1" x14ac:dyDescent="0.35">
      <c r="A2045" t="s">
        <v>27</v>
      </c>
      <c r="B2045" t="s">
        <v>87</v>
      </c>
      <c r="C2045" t="s">
        <v>57</v>
      </c>
      <c r="D2045">
        <v>2023</v>
      </c>
      <c r="E2045" t="s">
        <v>98</v>
      </c>
      <c r="F2045">
        <v>2202</v>
      </c>
      <c r="G2045" t="s">
        <v>145</v>
      </c>
    </row>
    <row r="2046" spans="1:7" hidden="1" x14ac:dyDescent="0.35">
      <c r="A2046" t="s">
        <v>27</v>
      </c>
      <c r="B2046" t="s">
        <v>87</v>
      </c>
      <c r="C2046" t="s">
        <v>57</v>
      </c>
      <c r="D2046">
        <v>2024</v>
      </c>
      <c r="E2046" t="s">
        <v>62</v>
      </c>
      <c r="F2046">
        <v>2482</v>
      </c>
      <c r="G2046" t="s">
        <v>145</v>
      </c>
    </row>
    <row r="2047" spans="1:7" hidden="1" x14ac:dyDescent="0.35">
      <c r="A2047" t="s">
        <v>27</v>
      </c>
      <c r="B2047" t="s">
        <v>87</v>
      </c>
      <c r="C2047" t="s">
        <v>57</v>
      </c>
      <c r="D2047">
        <v>2024</v>
      </c>
      <c r="E2047" t="s">
        <v>98</v>
      </c>
      <c r="F2047">
        <v>2526</v>
      </c>
      <c r="G2047" t="s">
        <v>145</v>
      </c>
    </row>
    <row r="2048" spans="1:7" hidden="1" x14ac:dyDescent="0.35">
      <c r="A2048" t="s">
        <v>27</v>
      </c>
      <c r="B2048" t="s">
        <v>87</v>
      </c>
      <c r="C2048" t="s">
        <v>57</v>
      </c>
      <c r="D2048">
        <v>2025</v>
      </c>
      <c r="E2048" t="s">
        <v>62</v>
      </c>
      <c r="F2048">
        <v>2866</v>
      </c>
      <c r="G2048" t="s">
        <v>145</v>
      </c>
    </row>
    <row r="2049" spans="1:7" hidden="1" x14ac:dyDescent="0.35">
      <c r="A2049" t="s">
        <v>27</v>
      </c>
      <c r="B2049" t="s">
        <v>87</v>
      </c>
      <c r="C2049" t="s">
        <v>57</v>
      </c>
      <c r="D2049">
        <v>2025</v>
      </c>
      <c r="E2049" t="s">
        <v>98</v>
      </c>
      <c r="F2049">
        <v>2943</v>
      </c>
      <c r="G2049" t="s">
        <v>145</v>
      </c>
    </row>
    <row r="2050" spans="1:7" hidden="1" x14ac:dyDescent="0.35">
      <c r="A2050" t="s">
        <v>27</v>
      </c>
      <c r="B2050" t="s">
        <v>87</v>
      </c>
      <c r="C2050" t="s">
        <v>58</v>
      </c>
      <c r="D2050">
        <v>2022</v>
      </c>
      <c r="E2050" t="s">
        <v>62</v>
      </c>
      <c r="F2050">
        <v>156</v>
      </c>
      <c r="G2050" t="s">
        <v>145</v>
      </c>
    </row>
    <row r="2051" spans="1:7" hidden="1" x14ac:dyDescent="0.35">
      <c r="A2051" t="s">
        <v>27</v>
      </c>
      <c r="B2051" t="s">
        <v>87</v>
      </c>
      <c r="C2051" t="s">
        <v>58</v>
      </c>
      <c r="D2051">
        <v>2022</v>
      </c>
      <c r="E2051" t="s">
        <v>98</v>
      </c>
      <c r="F2051">
        <v>321</v>
      </c>
      <c r="G2051" t="s">
        <v>145</v>
      </c>
    </row>
    <row r="2052" spans="1:7" hidden="1" x14ac:dyDescent="0.35">
      <c r="A2052" t="s">
        <v>27</v>
      </c>
      <c r="B2052" t="s">
        <v>87</v>
      </c>
      <c r="C2052" t="s">
        <v>58</v>
      </c>
      <c r="D2052">
        <v>2023</v>
      </c>
      <c r="E2052" t="s">
        <v>62</v>
      </c>
      <c r="F2052">
        <v>138</v>
      </c>
      <c r="G2052" t="s">
        <v>145</v>
      </c>
    </row>
    <row r="2053" spans="1:7" hidden="1" x14ac:dyDescent="0.35">
      <c r="A2053" t="s">
        <v>27</v>
      </c>
      <c r="B2053" t="s">
        <v>87</v>
      </c>
      <c r="C2053" t="s">
        <v>58</v>
      </c>
      <c r="D2053">
        <v>2023</v>
      </c>
      <c r="E2053" t="s">
        <v>98</v>
      </c>
      <c r="F2053">
        <v>392</v>
      </c>
      <c r="G2053" t="s">
        <v>145</v>
      </c>
    </row>
    <row r="2054" spans="1:7" hidden="1" x14ac:dyDescent="0.35">
      <c r="A2054" t="s">
        <v>27</v>
      </c>
      <c r="B2054" t="s">
        <v>87</v>
      </c>
      <c r="C2054" t="s">
        <v>58</v>
      </c>
      <c r="D2054">
        <v>2024</v>
      </c>
      <c r="E2054" t="s">
        <v>62</v>
      </c>
      <c r="F2054">
        <v>164</v>
      </c>
      <c r="G2054" t="s">
        <v>145</v>
      </c>
    </row>
    <row r="2055" spans="1:7" hidden="1" x14ac:dyDescent="0.35">
      <c r="A2055" t="s">
        <v>27</v>
      </c>
      <c r="B2055" t="s">
        <v>87</v>
      </c>
      <c r="C2055" t="s">
        <v>58</v>
      </c>
      <c r="D2055">
        <v>2024</v>
      </c>
      <c r="E2055" t="s">
        <v>98</v>
      </c>
      <c r="F2055">
        <v>551</v>
      </c>
      <c r="G2055" t="s">
        <v>145</v>
      </c>
    </row>
    <row r="2056" spans="1:7" hidden="1" x14ac:dyDescent="0.35">
      <c r="A2056" t="s">
        <v>27</v>
      </c>
      <c r="B2056" t="s">
        <v>87</v>
      </c>
      <c r="C2056" t="s">
        <v>58</v>
      </c>
      <c r="D2056">
        <v>2025</v>
      </c>
      <c r="E2056" t="s">
        <v>62</v>
      </c>
      <c r="F2056">
        <v>1293</v>
      </c>
      <c r="G2056" t="s">
        <v>145</v>
      </c>
    </row>
    <row r="2057" spans="1:7" hidden="1" x14ac:dyDescent="0.35">
      <c r="A2057" t="s">
        <v>27</v>
      </c>
      <c r="B2057" t="s">
        <v>87</v>
      </c>
      <c r="C2057" t="s">
        <v>58</v>
      </c>
      <c r="D2057">
        <v>2025</v>
      </c>
      <c r="E2057" t="s">
        <v>98</v>
      </c>
      <c r="F2057">
        <v>1122</v>
      </c>
      <c r="G2057" t="s">
        <v>145</v>
      </c>
    </row>
    <row r="2058" spans="1:7" hidden="1" x14ac:dyDescent="0.35">
      <c r="A2058" t="s">
        <v>27</v>
      </c>
      <c r="B2058" t="s">
        <v>87</v>
      </c>
      <c r="C2058" t="s">
        <v>59</v>
      </c>
      <c r="D2058">
        <v>2022</v>
      </c>
      <c r="E2058" t="s">
        <v>62</v>
      </c>
      <c r="F2058">
        <v>276</v>
      </c>
      <c r="G2058" t="s">
        <v>145</v>
      </c>
    </row>
    <row r="2059" spans="1:7" hidden="1" x14ac:dyDescent="0.35">
      <c r="A2059" t="s">
        <v>27</v>
      </c>
      <c r="B2059" t="s">
        <v>87</v>
      </c>
      <c r="C2059" t="s">
        <v>59</v>
      </c>
      <c r="D2059">
        <v>2022</v>
      </c>
      <c r="E2059" t="s">
        <v>98</v>
      </c>
      <c r="F2059">
        <v>314</v>
      </c>
      <c r="G2059" t="s">
        <v>145</v>
      </c>
    </row>
    <row r="2060" spans="1:7" hidden="1" x14ac:dyDescent="0.35">
      <c r="A2060" t="s">
        <v>27</v>
      </c>
      <c r="B2060" t="s">
        <v>87</v>
      </c>
      <c r="C2060" t="s">
        <v>59</v>
      </c>
      <c r="D2060">
        <v>2023</v>
      </c>
      <c r="E2060" t="s">
        <v>62</v>
      </c>
      <c r="F2060">
        <v>320</v>
      </c>
      <c r="G2060" t="s">
        <v>145</v>
      </c>
    </row>
    <row r="2061" spans="1:7" hidden="1" x14ac:dyDescent="0.35">
      <c r="A2061" t="s">
        <v>27</v>
      </c>
      <c r="B2061" t="s">
        <v>87</v>
      </c>
      <c r="C2061" t="s">
        <v>59</v>
      </c>
      <c r="D2061">
        <v>2023</v>
      </c>
      <c r="E2061" t="s">
        <v>98</v>
      </c>
      <c r="F2061">
        <v>295</v>
      </c>
      <c r="G2061" t="s">
        <v>145</v>
      </c>
    </row>
    <row r="2062" spans="1:7" hidden="1" x14ac:dyDescent="0.35">
      <c r="A2062" t="s">
        <v>27</v>
      </c>
      <c r="B2062" t="s">
        <v>87</v>
      </c>
      <c r="C2062" t="s">
        <v>59</v>
      </c>
      <c r="D2062">
        <v>2024</v>
      </c>
      <c r="E2062" t="s">
        <v>62</v>
      </c>
      <c r="F2062">
        <v>344</v>
      </c>
      <c r="G2062" t="s">
        <v>145</v>
      </c>
    </row>
    <row r="2063" spans="1:7" hidden="1" x14ac:dyDescent="0.35">
      <c r="A2063" t="s">
        <v>27</v>
      </c>
      <c r="B2063" t="s">
        <v>87</v>
      </c>
      <c r="C2063" t="s">
        <v>59</v>
      </c>
      <c r="D2063">
        <v>2024</v>
      </c>
      <c r="E2063" t="s">
        <v>98</v>
      </c>
      <c r="F2063">
        <v>349</v>
      </c>
      <c r="G2063" t="s">
        <v>145</v>
      </c>
    </row>
    <row r="2064" spans="1:7" hidden="1" x14ac:dyDescent="0.35">
      <c r="A2064" t="s">
        <v>27</v>
      </c>
      <c r="B2064" t="s">
        <v>87</v>
      </c>
      <c r="C2064" t="s">
        <v>59</v>
      </c>
      <c r="D2064">
        <v>2025</v>
      </c>
      <c r="E2064" t="s">
        <v>62</v>
      </c>
      <c r="F2064">
        <v>375</v>
      </c>
      <c r="G2064" t="s">
        <v>145</v>
      </c>
    </row>
    <row r="2065" spans="1:7" hidden="1" x14ac:dyDescent="0.35">
      <c r="A2065" t="s">
        <v>27</v>
      </c>
      <c r="B2065" t="s">
        <v>87</v>
      </c>
      <c r="C2065" t="s">
        <v>59</v>
      </c>
      <c r="D2065">
        <v>2025</v>
      </c>
      <c r="E2065" t="s">
        <v>98</v>
      </c>
      <c r="F2065">
        <v>486</v>
      </c>
      <c r="G2065" t="s">
        <v>145</v>
      </c>
    </row>
    <row r="2066" spans="1:7" hidden="1" x14ac:dyDescent="0.35">
      <c r="A2066" t="s">
        <v>28</v>
      </c>
      <c r="B2066" t="s">
        <v>28</v>
      </c>
      <c r="C2066" t="s">
        <v>57</v>
      </c>
      <c r="D2066">
        <v>2022</v>
      </c>
      <c r="E2066" t="s">
        <v>62</v>
      </c>
      <c r="F2066">
        <v>480</v>
      </c>
      <c r="G2066" t="s">
        <v>145</v>
      </c>
    </row>
    <row r="2067" spans="1:7" hidden="1" x14ac:dyDescent="0.35">
      <c r="A2067" t="s">
        <v>28</v>
      </c>
      <c r="B2067" t="s">
        <v>28</v>
      </c>
      <c r="C2067" t="s">
        <v>57</v>
      </c>
      <c r="D2067">
        <v>2022</v>
      </c>
      <c r="E2067" t="s">
        <v>98</v>
      </c>
      <c r="F2067">
        <v>524</v>
      </c>
      <c r="G2067" t="s">
        <v>145</v>
      </c>
    </row>
    <row r="2068" spans="1:7" hidden="1" x14ac:dyDescent="0.35">
      <c r="A2068" t="s">
        <v>28</v>
      </c>
      <c r="B2068" t="s">
        <v>28</v>
      </c>
      <c r="C2068" t="s">
        <v>57</v>
      </c>
      <c r="D2068">
        <v>2023</v>
      </c>
      <c r="E2068" t="s">
        <v>62</v>
      </c>
      <c r="F2068">
        <v>561</v>
      </c>
      <c r="G2068" t="s">
        <v>145</v>
      </c>
    </row>
    <row r="2069" spans="1:7" hidden="1" x14ac:dyDescent="0.35">
      <c r="A2069" t="s">
        <v>28</v>
      </c>
      <c r="B2069" t="s">
        <v>28</v>
      </c>
      <c r="C2069" t="s">
        <v>57</v>
      </c>
      <c r="D2069">
        <v>2023</v>
      </c>
      <c r="E2069" t="s">
        <v>98</v>
      </c>
      <c r="F2069">
        <v>614</v>
      </c>
      <c r="G2069" t="s">
        <v>145</v>
      </c>
    </row>
    <row r="2070" spans="1:7" hidden="1" x14ac:dyDescent="0.35">
      <c r="A2070" t="s">
        <v>28</v>
      </c>
      <c r="B2070" t="s">
        <v>28</v>
      </c>
      <c r="C2070" t="s">
        <v>57</v>
      </c>
      <c r="D2070">
        <v>2024</v>
      </c>
      <c r="E2070" t="s">
        <v>62</v>
      </c>
      <c r="F2070">
        <v>571</v>
      </c>
      <c r="G2070" t="s">
        <v>145</v>
      </c>
    </row>
    <row r="2071" spans="1:7" hidden="1" x14ac:dyDescent="0.35">
      <c r="A2071" t="s">
        <v>28</v>
      </c>
      <c r="B2071" t="s">
        <v>28</v>
      </c>
      <c r="C2071" t="s">
        <v>57</v>
      </c>
      <c r="D2071">
        <v>2024</v>
      </c>
      <c r="E2071" t="s">
        <v>98</v>
      </c>
      <c r="F2071">
        <v>678</v>
      </c>
      <c r="G2071" t="s">
        <v>145</v>
      </c>
    </row>
    <row r="2072" spans="1:7" hidden="1" x14ac:dyDescent="0.35">
      <c r="A2072" t="s">
        <v>28</v>
      </c>
      <c r="B2072" t="s">
        <v>28</v>
      </c>
      <c r="C2072" t="s">
        <v>57</v>
      </c>
      <c r="D2072">
        <v>2025</v>
      </c>
      <c r="E2072" t="s">
        <v>62</v>
      </c>
      <c r="F2072">
        <v>663</v>
      </c>
      <c r="G2072" t="s">
        <v>145</v>
      </c>
    </row>
    <row r="2073" spans="1:7" hidden="1" x14ac:dyDescent="0.35">
      <c r="A2073" t="s">
        <v>28</v>
      </c>
      <c r="B2073" t="s">
        <v>28</v>
      </c>
      <c r="C2073" t="s">
        <v>57</v>
      </c>
      <c r="D2073">
        <v>2025</v>
      </c>
      <c r="E2073" t="s">
        <v>98</v>
      </c>
      <c r="F2073">
        <v>3253</v>
      </c>
      <c r="G2073" t="s">
        <v>145</v>
      </c>
    </row>
    <row r="2074" spans="1:7" hidden="1" x14ac:dyDescent="0.35">
      <c r="A2074" t="s">
        <v>28</v>
      </c>
      <c r="B2074" t="s">
        <v>28</v>
      </c>
      <c r="C2074" t="s">
        <v>59</v>
      </c>
      <c r="D2074">
        <v>2022</v>
      </c>
      <c r="E2074" t="s">
        <v>62</v>
      </c>
      <c r="F2074">
        <v>0</v>
      </c>
      <c r="G2074" t="s">
        <v>145</v>
      </c>
    </row>
    <row r="2075" spans="1:7" hidden="1" x14ac:dyDescent="0.35">
      <c r="A2075" t="s">
        <v>28</v>
      </c>
      <c r="B2075" t="s">
        <v>28</v>
      </c>
      <c r="C2075" t="s">
        <v>59</v>
      </c>
      <c r="D2075">
        <v>2022</v>
      </c>
      <c r="E2075" t="s">
        <v>98</v>
      </c>
      <c r="F2075">
        <v>0</v>
      </c>
      <c r="G2075" t="s">
        <v>145</v>
      </c>
    </row>
    <row r="2076" spans="1:7" hidden="1" x14ac:dyDescent="0.35">
      <c r="A2076" t="s">
        <v>28</v>
      </c>
      <c r="B2076" t="s">
        <v>28</v>
      </c>
      <c r="C2076" t="s">
        <v>59</v>
      </c>
      <c r="D2076">
        <v>2023</v>
      </c>
      <c r="E2076" t="s">
        <v>62</v>
      </c>
      <c r="F2076">
        <v>0</v>
      </c>
      <c r="G2076" t="s">
        <v>145</v>
      </c>
    </row>
    <row r="2077" spans="1:7" hidden="1" x14ac:dyDescent="0.35">
      <c r="A2077" t="s">
        <v>28</v>
      </c>
      <c r="B2077" t="s">
        <v>28</v>
      </c>
      <c r="C2077" t="s">
        <v>59</v>
      </c>
      <c r="D2077">
        <v>2023</v>
      </c>
      <c r="E2077" t="s">
        <v>98</v>
      </c>
      <c r="F2077">
        <v>0</v>
      </c>
      <c r="G2077" t="s">
        <v>145</v>
      </c>
    </row>
    <row r="2078" spans="1:7" hidden="1" x14ac:dyDescent="0.35">
      <c r="A2078" t="s">
        <v>28</v>
      </c>
      <c r="B2078" t="s">
        <v>28</v>
      </c>
      <c r="C2078" t="s">
        <v>59</v>
      </c>
      <c r="D2078">
        <v>2024</v>
      </c>
      <c r="E2078" t="s">
        <v>62</v>
      </c>
      <c r="F2078">
        <v>0</v>
      </c>
      <c r="G2078" t="s">
        <v>145</v>
      </c>
    </row>
    <row r="2079" spans="1:7" hidden="1" x14ac:dyDescent="0.35">
      <c r="A2079" t="s">
        <v>28</v>
      </c>
      <c r="B2079" t="s">
        <v>28</v>
      </c>
      <c r="C2079" t="s">
        <v>59</v>
      </c>
      <c r="D2079">
        <v>2024</v>
      </c>
      <c r="E2079" t="s">
        <v>98</v>
      </c>
      <c r="F2079">
        <v>0</v>
      </c>
      <c r="G2079" t="s">
        <v>145</v>
      </c>
    </row>
    <row r="2080" spans="1:7" hidden="1" x14ac:dyDescent="0.35">
      <c r="A2080" t="s">
        <v>28</v>
      </c>
      <c r="B2080" t="s">
        <v>28</v>
      </c>
      <c r="C2080" t="s">
        <v>59</v>
      </c>
      <c r="D2080">
        <v>2025</v>
      </c>
      <c r="E2080" t="s">
        <v>62</v>
      </c>
      <c r="F2080">
        <v>0</v>
      </c>
      <c r="G2080" t="s">
        <v>145</v>
      </c>
    </row>
    <row r="2081" spans="1:7" hidden="1" x14ac:dyDescent="0.35">
      <c r="A2081" t="s">
        <v>28</v>
      </c>
      <c r="B2081" t="s">
        <v>28</v>
      </c>
      <c r="C2081" t="s">
        <v>59</v>
      </c>
      <c r="D2081">
        <v>2025</v>
      </c>
      <c r="E2081" t="s">
        <v>98</v>
      </c>
      <c r="F2081">
        <v>0</v>
      </c>
      <c r="G2081" t="s">
        <v>145</v>
      </c>
    </row>
    <row r="2082" spans="1:7" hidden="1" x14ac:dyDescent="0.35">
      <c r="A2082" t="s">
        <v>29</v>
      </c>
      <c r="B2082" t="s">
        <v>88</v>
      </c>
      <c r="C2082" t="s">
        <v>57</v>
      </c>
      <c r="D2082">
        <v>2022</v>
      </c>
      <c r="E2082" t="s">
        <v>62</v>
      </c>
      <c r="F2082">
        <v>5466</v>
      </c>
      <c r="G2082" t="s">
        <v>145</v>
      </c>
    </row>
    <row r="2083" spans="1:7" hidden="1" x14ac:dyDescent="0.35">
      <c r="A2083" t="s">
        <v>29</v>
      </c>
      <c r="B2083" t="s">
        <v>88</v>
      </c>
      <c r="C2083" t="s">
        <v>57</v>
      </c>
      <c r="D2083">
        <v>2022</v>
      </c>
      <c r="E2083" t="s">
        <v>98</v>
      </c>
      <c r="F2083">
        <v>4179</v>
      </c>
      <c r="G2083" t="s">
        <v>145</v>
      </c>
    </row>
    <row r="2084" spans="1:7" hidden="1" x14ac:dyDescent="0.35">
      <c r="A2084" t="s">
        <v>29</v>
      </c>
      <c r="B2084" t="s">
        <v>88</v>
      </c>
      <c r="C2084" t="s">
        <v>57</v>
      </c>
      <c r="D2084">
        <v>2023</v>
      </c>
      <c r="E2084" t="s">
        <v>62</v>
      </c>
      <c r="F2084">
        <v>4182</v>
      </c>
      <c r="G2084" t="s">
        <v>145</v>
      </c>
    </row>
    <row r="2085" spans="1:7" hidden="1" x14ac:dyDescent="0.35">
      <c r="A2085" t="s">
        <v>29</v>
      </c>
      <c r="B2085" t="s">
        <v>88</v>
      </c>
      <c r="C2085" t="s">
        <v>57</v>
      </c>
      <c r="D2085">
        <v>2023</v>
      </c>
      <c r="E2085" t="s">
        <v>98</v>
      </c>
      <c r="F2085">
        <v>3326</v>
      </c>
      <c r="G2085" t="s">
        <v>145</v>
      </c>
    </row>
    <row r="2086" spans="1:7" hidden="1" x14ac:dyDescent="0.35">
      <c r="A2086" t="s">
        <v>29</v>
      </c>
      <c r="B2086" t="s">
        <v>88</v>
      </c>
      <c r="C2086" t="s">
        <v>57</v>
      </c>
      <c r="D2086">
        <v>2024</v>
      </c>
      <c r="E2086" t="s">
        <v>62</v>
      </c>
      <c r="F2086">
        <v>4408</v>
      </c>
      <c r="G2086" t="s">
        <v>145</v>
      </c>
    </row>
    <row r="2087" spans="1:7" hidden="1" x14ac:dyDescent="0.35">
      <c r="A2087" t="s">
        <v>29</v>
      </c>
      <c r="B2087" t="s">
        <v>88</v>
      </c>
      <c r="C2087" t="s">
        <v>57</v>
      </c>
      <c r="D2087">
        <v>2024</v>
      </c>
      <c r="E2087" t="s">
        <v>98</v>
      </c>
      <c r="F2087">
        <v>4452</v>
      </c>
      <c r="G2087" t="s">
        <v>145</v>
      </c>
    </row>
    <row r="2088" spans="1:7" hidden="1" x14ac:dyDescent="0.35">
      <c r="A2088" t="s">
        <v>29</v>
      </c>
      <c r="B2088" t="s">
        <v>88</v>
      </c>
      <c r="C2088" t="s">
        <v>57</v>
      </c>
      <c r="D2088">
        <v>2025</v>
      </c>
      <c r="E2088" t="s">
        <v>62</v>
      </c>
      <c r="F2088">
        <v>4422</v>
      </c>
      <c r="G2088" t="s">
        <v>145</v>
      </c>
    </row>
    <row r="2089" spans="1:7" hidden="1" x14ac:dyDescent="0.35">
      <c r="A2089" t="s">
        <v>29</v>
      </c>
      <c r="B2089" t="s">
        <v>88</v>
      </c>
      <c r="C2089" t="s">
        <v>57</v>
      </c>
      <c r="D2089">
        <v>2025</v>
      </c>
      <c r="E2089" t="s">
        <v>98</v>
      </c>
      <c r="F2089">
        <v>953</v>
      </c>
      <c r="G2089" t="s">
        <v>145</v>
      </c>
    </row>
    <row r="2090" spans="1:7" hidden="1" x14ac:dyDescent="0.35">
      <c r="A2090" t="s">
        <v>29</v>
      </c>
      <c r="B2090" t="s">
        <v>88</v>
      </c>
      <c r="C2090" t="s">
        <v>58</v>
      </c>
      <c r="D2090">
        <v>2022</v>
      </c>
      <c r="E2090" t="s">
        <v>62</v>
      </c>
      <c r="F2090">
        <v>956</v>
      </c>
      <c r="G2090" t="s">
        <v>145</v>
      </c>
    </row>
    <row r="2091" spans="1:7" hidden="1" x14ac:dyDescent="0.35">
      <c r="A2091" t="s">
        <v>29</v>
      </c>
      <c r="B2091" t="s">
        <v>88</v>
      </c>
      <c r="C2091" t="s">
        <v>58</v>
      </c>
      <c r="D2091">
        <v>2022</v>
      </c>
      <c r="E2091" t="s">
        <v>98</v>
      </c>
      <c r="F2091">
        <v>1218</v>
      </c>
      <c r="G2091" t="s">
        <v>145</v>
      </c>
    </row>
    <row r="2092" spans="1:7" hidden="1" x14ac:dyDescent="0.35">
      <c r="A2092" t="s">
        <v>29</v>
      </c>
      <c r="B2092" t="s">
        <v>88</v>
      </c>
      <c r="C2092" t="s">
        <v>58</v>
      </c>
      <c r="D2092">
        <v>2023</v>
      </c>
      <c r="E2092" t="s">
        <v>62</v>
      </c>
      <c r="F2092">
        <v>1162</v>
      </c>
      <c r="G2092" t="s">
        <v>145</v>
      </c>
    </row>
    <row r="2093" spans="1:7" hidden="1" x14ac:dyDescent="0.35">
      <c r="A2093" t="s">
        <v>29</v>
      </c>
      <c r="B2093" t="s">
        <v>88</v>
      </c>
      <c r="C2093" t="s">
        <v>58</v>
      </c>
      <c r="D2093">
        <v>2023</v>
      </c>
      <c r="E2093" t="s">
        <v>98</v>
      </c>
      <c r="F2093">
        <v>1590</v>
      </c>
      <c r="G2093" t="s">
        <v>145</v>
      </c>
    </row>
    <row r="2094" spans="1:7" hidden="1" x14ac:dyDescent="0.35">
      <c r="A2094" t="s">
        <v>29</v>
      </c>
      <c r="B2094" t="s">
        <v>88</v>
      </c>
      <c r="C2094" t="s">
        <v>58</v>
      </c>
      <c r="D2094">
        <v>2024</v>
      </c>
      <c r="E2094" t="s">
        <v>62</v>
      </c>
      <c r="F2094">
        <v>2684</v>
      </c>
      <c r="G2094" t="s">
        <v>145</v>
      </c>
    </row>
    <row r="2095" spans="1:7" hidden="1" x14ac:dyDescent="0.35">
      <c r="A2095" t="s">
        <v>29</v>
      </c>
      <c r="B2095" t="s">
        <v>88</v>
      </c>
      <c r="C2095" t="s">
        <v>58</v>
      </c>
      <c r="D2095">
        <v>2024</v>
      </c>
      <c r="E2095" t="s">
        <v>98</v>
      </c>
      <c r="F2095">
        <v>4568</v>
      </c>
      <c r="G2095" t="s">
        <v>145</v>
      </c>
    </row>
    <row r="2096" spans="1:7" hidden="1" x14ac:dyDescent="0.35">
      <c r="A2096" t="s">
        <v>29</v>
      </c>
      <c r="B2096" t="s">
        <v>88</v>
      </c>
      <c r="C2096" t="s">
        <v>58</v>
      </c>
      <c r="D2096">
        <v>2025</v>
      </c>
      <c r="E2096" t="s">
        <v>62</v>
      </c>
      <c r="F2096">
        <v>2886</v>
      </c>
      <c r="G2096" t="s">
        <v>145</v>
      </c>
    </row>
    <row r="2097" spans="1:7" hidden="1" x14ac:dyDescent="0.35">
      <c r="A2097" t="s">
        <v>29</v>
      </c>
      <c r="B2097" t="s">
        <v>88</v>
      </c>
      <c r="C2097" t="s">
        <v>58</v>
      </c>
      <c r="D2097">
        <v>2025</v>
      </c>
      <c r="E2097" t="s">
        <v>98</v>
      </c>
      <c r="F2097">
        <v>1040</v>
      </c>
      <c r="G2097" t="s">
        <v>145</v>
      </c>
    </row>
    <row r="2098" spans="1:7" hidden="1" x14ac:dyDescent="0.35">
      <c r="A2098" t="s">
        <v>29</v>
      </c>
      <c r="B2098" t="s">
        <v>88</v>
      </c>
      <c r="C2098" t="s">
        <v>59</v>
      </c>
      <c r="D2098">
        <v>2022</v>
      </c>
      <c r="E2098" t="s">
        <v>62</v>
      </c>
      <c r="F2098">
        <v>0</v>
      </c>
      <c r="G2098" t="s">
        <v>145</v>
      </c>
    </row>
    <row r="2099" spans="1:7" hidden="1" x14ac:dyDescent="0.35">
      <c r="A2099" t="s">
        <v>29</v>
      </c>
      <c r="B2099" t="s">
        <v>88</v>
      </c>
      <c r="C2099" t="s">
        <v>59</v>
      </c>
      <c r="D2099">
        <v>2022</v>
      </c>
      <c r="E2099" t="s">
        <v>98</v>
      </c>
      <c r="F2099">
        <v>0</v>
      </c>
      <c r="G2099" t="s">
        <v>145</v>
      </c>
    </row>
    <row r="2100" spans="1:7" hidden="1" x14ac:dyDescent="0.35">
      <c r="A2100" t="s">
        <v>29</v>
      </c>
      <c r="B2100" t="s">
        <v>88</v>
      </c>
      <c r="C2100" t="s">
        <v>59</v>
      </c>
      <c r="D2100">
        <v>2023</v>
      </c>
      <c r="E2100" t="s">
        <v>62</v>
      </c>
      <c r="F2100">
        <v>0</v>
      </c>
      <c r="G2100" t="s">
        <v>145</v>
      </c>
    </row>
    <row r="2101" spans="1:7" hidden="1" x14ac:dyDescent="0.35">
      <c r="A2101" t="s">
        <v>29</v>
      </c>
      <c r="B2101" t="s">
        <v>88</v>
      </c>
      <c r="C2101" t="s">
        <v>59</v>
      </c>
      <c r="D2101">
        <v>2023</v>
      </c>
      <c r="E2101" t="s">
        <v>98</v>
      </c>
      <c r="F2101">
        <v>0</v>
      </c>
      <c r="G2101" t="s">
        <v>145</v>
      </c>
    </row>
    <row r="2102" spans="1:7" hidden="1" x14ac:dyDescent="0.35">
      <c r="A2102" t="s">
        <v>29</v>
      </c>
      <c r="B2102" t="s">
        <v>88</v>
      </c>
      <c r="C2102" t="s">
        <v>59</v>
      </c>
      <c r="D2102">
        <v>2024</v>
      </c>
      <c r="E2102" t="s">
        <v>62</v>
      </c>
      <c r="F2102">
        <v>0</v>
      </c>
      <c r="G2102" t="s">
        <v>145</v>
      </c>
    </row>
    <row r="2103" spans="1:7" hidden="1" x14ac:dyDescent="0.35">
      <c r="A2103" t="s">
        <v>29</v>
      </c>
      <c r="B2103" t="s">
        <v>88</v>
      </c>
      <c r="C2103" t="s">
        <v>59</v>
      </c>
      <c r="D2103">
        <v>2024</v>
      </c>
      <c r="E2103" t="s">
        <v>98</v>
      </c>
      <c r="F2103">
        <v>0</v>
      </c>
      <c r="G2103" t="s">
        <v>145</v>
      </c>
    </row>
    <row r="2104" spans="1:7" hidden="1" x14ac:dyDescent="0.35">
      <c r="A2104" t="s">
        <v>29</v>
      </c>
      <c r="B2104" t="s">
        <v>88</v>
      </c>
      <c r="C2104" t="s">
        <v>59</v>
      </c>
      <c r="D2104">
        <v>2025</v>
      </c>
      <c r="E2104" t="s">
        <v>62</v>
      </c>
      <c r="F2104">
        <v>0</v>
      </c>
      <c r="G2104" t="s">
        <v>145</v>
      </c>
    </row>
    <row r="2105" spans="1:7" hidden="1" x14ac:dyDescent="0.35">
      <c r="A2105" t="s">
        <v>29</v>
      </c>
      <c r="B2105" t="s">
        <v>88</v>
      </c>
      <c r="C2105" t="s">
        <v>59</v>
      </c>
      <c r="D2105">
        <v>2025</v>
      </c>
      <c r="E2105" t="s">
        <v>98</v>
      </c>
      <c r="F2105">
        <v>0</v>
      </c>
      <c r="G2105" t="s">
        <v>145</v>
      </c>
    </row>
    <row r="2106" spans="1:7" hidden="1" x14ac:dyDescent="0.35">
      <c r="A2106" t="s">
        <v>30</v>
      </c>
      <c r="B2106" t="s">
        <v>89</v>
      </c>
      <c r="C2106" t="s">
        <v>57</v>
      </c>
      <c r="D2106">
        <v>2022</v>
      </c>
      <c r="E2106" t="s">
        <v>62</v>
      </c>
      <c r="F2106">
        <v>213</v>
      </c>
      <c r="G2106" t="s">
        <v>145</v>
      </c>
    </row>
    <row r="2107" spans="1:7" hidden="1" x14ac:dyDescent="0.35">
      <c r="A2107" t="s">
        <v>30</v>
      </c>
      <c r="B2107" t="s">
        <v>89</v>
      </c>
      <c r="C2107" t="s">
        <v>57</v>
      </c>
      <c r="D2107">
        <v>2022</v>
      </c>
      <c r="E2107" t="s">
        <v>98</v>
      </c>
      <c r="F2107">
        <v>376</v>
      </c>
      <c r="G2107" t="s">
        <v>145</v>
      </c>
    </row>
    <row r="2108" spans="1:7" hidden="1" x14ac:dyDescent="0.35">
      <c r="A2108" t="s">
        <v>30</v>
      </c>
      <c r="B2108" t="s">
        <v>89</v>
      </c>
      <c r="C2108" t="s">
        <v>57</v>
      </c>
      <c r="D2108">
        <v>2023</v>
      </c>
      <c r="E2108" t="s">
        <v>62</v>
      </c>
      <c r="F2108">
        <v>275</v>
      </c>
      <c r="G2108" t="s">
        <v>145</v>
      </c>
    </row>
    <row r="2109" spans="1:7" hidden="1" x14ac:dyDescent="0.35">
      <c r="A2109" t="s">
        <v>30</v>
      </c>
      <c r="B2109" t="s">
        <v>89</v>
      </c>
      <c r="C2109" t="s">
        <v>57</v>
      </c>
      <c r="D2109">
        <v>2023</v>
      </c>
      <c r="E2109" t="s">
        <v>98</v>
      </c>
      <c r="F2109">
        <v>315</v>
      </c>
      <c r="G2109" t="s">
        <v>145</v>
      </c>
    </row>
    <row r="2110" spans="1:7" hidden="1" x14ac:dyDescent="0.35">
      <c r="A2110" t="s">
        <v>30</v>
      </c>
      <c r="B2110" t="s">
        <v>89</v>
      </c>
      <c r="C2110" t="s">
        <v>57</v>
      </c>
      <c r="D2110">
        <v>2024</v>
      </c>
      <c r="E2110" t="s">
        <v>62</v>
      </c>
      <c r="F2110">
        <v>281</v>
      </c>
      <c r="G2110" t="s">
        <v>145</v>
      </c>
    </row>
    <row r="2111" spans="1:7" hidden="1" x14ac:dyDescent="0.35">
      <c r="A2111" t="s">
        <v>30</v>
      </c>
      <c r="B2111" t="s">
        <v>89</v>
      </c>
      <c r="C2111" t="s">
        <v>57</v>
      </c>
      <c r="D2111">
        <v>2024</v>
      </c>
      <c r="E2111" t="s">
        <v>98</v>
      </c>
      <c r="F2111">
        <v>305</v>
      </c>
      <c r="G2111" t="s">
        <v>145</v>
      </c>
    </row>
    <row r="2112" spans="1:7" hidden="1" x14ac:dyDescent="0.35">
      <c r="A2112" t="s">
        <v>30</v>
      </c>
      <c r="B2112" t="s">
        <v>89</v>
      </c>
      <c r="C2112" t="s">
        <v>57</v>
      </c>
      <c r="D2112">
        <v>2025</v>
      </c>
      <c r="E2112" t="s">
        <v>62</v>
      </c>
      <c r="F2112">
        <v>342</v>
      </c>
      <c r="G2112" t="s">
        <v>145</v>
      </c>
    </row>
    <row r="2113" spans="1:7" hidden="1" x14ac:dyDescent="0.35">
      <c r="A2113" t="s">
        <v>30</v>
      </c>
      <c r="B2113" t="s">
        <v>89</v>
      </c>
      <c r="C2113" t="s">
        <v>57</v>
      </c>
      <c r="D2113">
        <v>2025</v>
      </c>
      <c r="E2113" t="s">
        <v>98</v>
      </c>
      <c r="F2113">
        <v>348</v>
      </c>
      <c r="G2113" t="s">
        <v>145</v>
      </c>
    </row>
    <row r="2114" spans="1:7" hidden="1" x14ac:dyDescent="0.35">
      <c r="A2114" t="s">
        <v>30</v>
      </c>
      <c r="B2114" t="s">
        <v>89</v>
      </c>
      <c r="C2114" t="s">
        <v>58</v>
      </c>
      <c r="D2114">
        <v>2022</v>
      </c>
      <c r="E2114" t="s">
        <v>62</v>
      </c>
      <c r="F2114">
        <v>55</v>
      </c>
      <c r="G2114" t="s">
        <v>145</v>
      </c>
    </row>
    <row r="2115" spans="1:7" hidden="1" x14ac:dyDescent="0.35">
      <c r="A2115" t="s">
        <v>30</v>
      </c>
      <c r="B2115" t="s">
        <v>89</v>
      </c>
      <c r="C2115" t="s">
        <v>58</v>
      </c>
      <c r="D2115">
        <v>2022</v>
      </c>
      <c r="E2115" t="s">
        <v>98</v>
      </c>
      <c r="F2115">
        <v>37</v>
      </c>
      <c r="G2115" t="s">
        <v>145</v>
      </c>
    </row>
    <row r="2116" spans="1:7" hidden="1" x14ac:dyDescent="0.35">
      <c r="A2116" t="s">
        <v>30</v>
      </c>
      <c r="B2116" t="s">
        <v>89</v>
      </c>
      <c r="C2116" t="s">
        <v>58</v>
      </c>
      <c r="D2116">
        <v>2023</v>
      </c>
      <c r="E2116" t="s">
        <v>62</v>
      </c>
      <c r="F2116">
        <v>53</v>
      </c>
      <c r="G2116" t="s">
        <v>145</v>
      </c>
    </row>
    <row r="2117" spans="1:7" hidden="1" x14ac:dyDescent="0.35">
      <c r="A2117" t="s">
        <v>30</v>
      </c>
      <c r="B2117" t="s">
        <v>89</v>
      </c>
      <c r="C2117" t="s">
        <v>58</v>
      </c>
      <c r="D2117">
        <v>2023</v>
      </c>
      <c r="E2117" t="s">
        <v>98</v>
      </c>
      <c r="F2117">
        <v>54</v>
      </c>
      <c r="G2117" t="s">
        <v>145</v>
      </c>
    </row>
    <row r="2118" spans="1:7" hidden="1" x14ac:dyDescent="0.35">
      <c r="A2118" t="s">
        <v>30</v>
      </c>
      <c r="B2118" t="s">
        <v>89</v>
      </c>
      <c r="C2118" t="s">
        <v>58</v>
      </c>
      <c r="D2118">
        <v>2024</v>
      </c>
      <c r="E2118" t="s">
        <v>62</v>
      </c>
      <c r="F2118">
        <v>54</v>
      </c>
      <c r="G2118" t="s">
        <v>145</v>
      </c>
    </row>
    <row r="2119" spans="1:7" hidden="1" x14ac:dyDescent="0.35">
      <c r="A2119" t="s">
        <v>30</v>
      </c>
      <c r="B2119" t="s">
        <v>89</v>
      </c>
      <c r="C2119" t="s">
        <v>58</v>
      </c>
      <c r="D2119">
        <v>2024</v>
      </c>
      <c r="E2119" t="s">
        <v>98</v>
      </c>
      <c r="F2119">
        <v>49</v>
      </c>
      <c r="G2119" t="s">
        <v>145</v>
      </c>
    </row>
    <row r="2120" spans="1:7" hidden="1" x14ac:dyDescent="0.35">
      <c r="A2120" t="s">
        <v>30</v>
      </c>
      <c r="B2120" t="s">
        <v>89</v>
      </c>
      <c r="C2120" t="s">
        <v>58</v>
      </c>
      <c r="D2120">
        <v>2025</v>
      </c>
      <c r="E2120" t="s">
        <v>62</v>
      </c>
      <c r="F2120">
        <v>27</v>
      </c>
      <c r="G2120" t="s">
        <v>145</v>
      </c>
    </row>
    <row r="2121" spans="1:7" hidden="1" x14ac:dyDescent="0.35">
      <c r="A2121" t="s">
        <v>30</v>
      </c>
      <c r="B2121" t="s">
        <v>89</v>
      </c>
      <c r="C2121" t="s">
        <v>58</v>
      </c>
      <c r="D2121">
        <v>2025</v>
      </c>
      <c r="E2121" t="s">
        <v>98</v>
      </c>
      <c r="F2121">
        <v>35</v>
      </c>
      <c r="G2121" t="s">
        <v>145</v>
      </c>
    </row>
    <row r="2122" spans="1:7" hidden="1" x14ac:dyDescent="0.35">
      <c r="A2122" t="s">
        <v>30</v>
      </c>
      <c r="B2122" t="s">
        <v>89</v>
      </c>
      <c r="C2122" t="s">
        <v>59</v>
      </c>
      <c r="D2122">
        <v>2022</v>
      </c>
      <c r="E2122" t="s">
        <v>62</v>
      </c>
      <c r="F2122">
        <v>954</v>
      </c>
      <c r="G2122" t="s">
        <v>145</v>
      </c>
    </row>
    <row r="2123" spans="1:7" hidden="1" x14ac:dyDescent="0.35">
      <c r="A2123" t="s">
        <v>30</v>
      </c>
      <c r="B2123" t="s">
        <v>89</v>
      </c>
      <c r="C2123" t="s">
        <v>59</v>
      </c>
      <c r="D2123">
        <v>2022</v>
      </c>
      <c r="E2123" t="s">
        <v>98</v>
      </c>
      <c r="F2123">
        <v>342</v>
      </c>
      <c r="G2123" t="s">
        <v>145</v>
      </c>
    </row>
    <row r="2124" spans="1:7" hidden="1" x14ac:dyDescent="0.35">
      <c r="A2124" t="s">
        <v>30</v>
      </c>
      <c r="B2124" t="s">
        <v>89</v>
      </c>
      <c r="C2124" t="s">
        <v>59</v>
      </c>
      <c r="D2124">
        <v>2023</v>
      </c>
      <c r="E2124" t="s">
        <v>62</v>
      </c>
      <c r="F2124">
        <v>105</v>
      </c>
      <c r="G2124" t="s">
        <v>145</v>
      </c>
    </row>
    <row r="2125" spans="1:7" hidden="1" x14ac:dyDescent="0.35">
      <c r="A2125" t="s">
        <v>30</v>
      </c>
      <c r="B2125" t="s">
        <v>89</v>
      </c>
      <c r="C2125" t="s">
        <v>59</v>
      </c>
      <c r="D2125">
        <v>2023</v>
      </c>
      <c r="E2125" t="s">
        <v>98</v>
      </c>
      <c r="F2125">
        <v>24</v>
      </c>
      <c r="G2125" t="s">
        <v>145</v>
      </c>
    </row>
    <row r="2126" spans="1:7" hidden="1" x14ac:dyDescent="0.35">
      <c r="A2126" t="s">
        <v>30</v>
      </c>
      <c r="B2126" t="s">
        <v>89</v>
      </c>
      <c r="C2126" t="s">
        <v>59</v>
      </c>
      <c r="D2126">
        <v>2024</v>
      </c>
      <c r="E2126" t="s">
        <v>62</v>
      </c>
      <c r="F2126">
        <v>-647</v>
      </c>
      <c r="G2126" t="s">
        <v>145</v>
      </c>
    </row>
    <row r="2127" spans="1:7" hidden="1" x14ac:dyDescent="0.35">
      <c r="A2127" t="s">
        <v>30</v>
      </c>
      <c r="B2127" t="s">
        <v>89</v>
      </c>
      <c r="C2127" t="s">
        <v>59</v>
      </c>
      <c r="D2127">
        <v>2024</v>
      </c>
      <c r="E2127" t="s">
        <v>98</v>
      </c>
      <c r="F2127">
        <v>-792</v>
      </c>
      <c r="G2127" t="s">
        <v>145</v>
      </c>
    </row>
    <row r="2128" spans="1:7" hidden="1" x14ac:dyDescent="0.35">
      <c r="A2128" t="s">
        <v>30</v>
      </c>
      <c r="B2128" t="s">
        <v>89</v>
      </c>
      <c r="C2128" t="s">
        <v>59</v>
      </c>
      <c r="D2128">
        <v>2025</v>
      </c>
      <c r="E2128" t="s">
        <v>62</v>
      </c>
      <c r="F2128">
        <v>-492</v>
      </c>
      <c r="G2128" t="s">
        <v>145</v>
      </c>
    </row>
    <row r="2129" spans="1:7" hidden="1" x14ac:dyDescent="0.35">
      <c r="A2129" t="s">
        <v>30</v>
      </c>
      <c r="B2129" t="s">
        <v>89</v>
      </c>
      <c r="C2129" t="s">
        <v>59</v>
      </c>
      <c r="D2129">
        <v>2025</v>
      </c>
      <c r="E2129" t="s">
        <v>98</v>
      </c>
      <c r="F2129">
        <v>-753</v>
      </c>
      <c r="G2129" t="s">
        <v>145</v>
      </c>
    </row>
    <row r="2130" spans="1:7" hidden="1" x14ac:dyDescent="0.35">
      <c r="A2130" t="s">
        <v>31</v>
      </c>
      <c r="B2130" t="s">
        <v>31</v>
      </c>
      <c r="C2130" t="s">
        <v>57</v>
      </c>
      <c r="D2130">
        <v>2022</v>
      </c>
      <c r="E2130" t="s">
        <v>62</v>
      </c>
      <c r="F2130">
        <v>419</v>
      </c>
      <c r="G2130" t="s">
        <v>145</v>
      </c>
    </row>
    <row r="2131" spans="1:7" hidden="1" x14ac:dyDescent="0.35">
      <c r="A2131" t="s">
        <v>31</v>
      </c>
      <c r="B2131" t="s">
        <v>31</v>
      </c>
      <c r="C2131" t="s">
        <v>57</v>
      </c>
      <c r="D2131">
        <v>2022</v>
      </c>
      <c r="E2131" t="s">
        <v>98</v>
      </c>
      <c r="F2131">
        <v>379</v>
      </c>
      <c r="G2131" t="s">
        <v>145</v>
      </c>
    </row>
    <row r="2132" spans="1:7" hidden="1" x14ac:dyDescent="0.35">
      <c r="A2132" t="s">
        <v>31</v>
      </c>
      <c r="B2132" t="s">
        <v>31</v>
      </c>
      <c r="C2132" t="s">
        <v>57</v>
      </c>
      <c r="D2132">
        <v>2023</v>
      </c>
      <c r="E2132" t="s">
        <v>62</v>
      </c>
      <c r="F2132">
        <v>532</v>
      </c>
      <c r="G2132" t="s">
        <v>145</v>
      </c>
    </row>
    <row r="2133" spans="1:7" hidden="1" x14ac:dyDescent="0.35">
      <c r="A2133" t="s">
        <v>31</v>
      </c>
      <c r="B2133" t="s">
        <v>31</v>
      </c>
      <c r="C2133" t="s">
        <v>57</v>
      </c>
      <c r="D2133">
        <v>2023</v>
      </c>
      <c r="E2133" t="s">
        <v>98</v>
      </c>
      <c r="F2133">
        <v>534</v>
      </c>
      <c r="G2133" t="s">
        <v>145</v>
      </c>
    </row>
    <row r="2134" spans="1:7" hidden="1" x14ac:dyDescent="0.35">
      <c r="A2134" t="s">
        <v>31</v>
      </c>
      <c r="B2134" t="s">
        <v>31</v>
      </c>
      <c r="C2134" t="s">
        <v>57</v>
      </c>
      <c r="D2134">
        <v>2024</v>
      </c>
      <c r="E2134" t="s">
        <v>62</v>
      </c>
      <c r="F2134">
        <v>571</v>
      </c>
      <c r="G2134" t="s">
        <v>145</v>
      </c>
    </row>
    <row r="2135" spans="1:7" hidden="1" x14ac:dyDescent="0.35">
      <c r="A2135" t="s">
        <v>31</v>
      </c>
      <c r="B2135" t="s">
        <v>31</v>
      </c>
      <c r="C2135" t="s">
        <v>57</v>
      </c>
      <c r="D2135">
        <v>2024</v>
      </c>
      <c r="E2135" t="s">
        <v>98</v>
      </c>
      <c r="F2135">
        <v>482</v>
      </c>
      <c r="G2135" t="s">
        <v>145</v>
      </c>
    </row>
    <row r="2136" spans="1:7" hidden="1" x14ac:dyDescent="0.35">
      <c r="A2136" t="s">
        <v>31</v>
      </c>
      <c r="B2136" t="s">
        <v>31</v>
      </c>
      <c r="C2136" t="s">
        <v>57</v>
      </c>
      <c r="D2136">
        <v>2025</v>
      </c>
      <c r="E2136" t="s">
        <v>62</v>
      </c>
      <c r="F2136">
        <v>628</v>
      </c>
      <c r="G2136" t="s">
        <v>145</v>
      </c>
    </row>
    <row r="2137" spans="1:7" hidden="1" x14ac:dyDescent="0.35">
      <c r="A2137" t="s">
        <v>31</v>
      </c>
      <c r="B2137" t="s">
        <v>31</v>
      </c>
      <c r="C2137" t="s">
        <v>57</v>
      </c>
      <c r="D2137">
        <v>2025</v>
      </c>
      <c r="E2137" t="s">
        <v>98</v>
      </c>
      <c r="F2137">
        <v>0</v>
      </c>
      <c r="G2137" t="s">
        <v>145</v>
      </c>
    </row>
    <row r="2138" spans="1:7" hidden="1" x14ac:dyDescent="0.35">
      <c r="A2138" t="s">
        <v>31</v>
      </c>
      <c r="B2138" t="s">
        <v>31</v>
      </c>
      <c r="C2138" t="s">
        <v>58</v>
      </c>
      <c r="D2138">
        <v>2022</v>
      </c>
      <c r="E2138" t="s">
        <v>62</v>
      </c>
      <c r="F2138">
        <v>103</v>
      </c>
      <c r="G2138" t="s">
        <v>145</v>
      </c>
    </row>
    <row r="2139" spans="1:7" hidden="1" x14ac:dyDescent="0.35">
      <c r="A2139" t="s">
        <v>31</v>
      </c>
      <c r="B2139" t="s">
        <v>31</v>
      </c>
      <c r="C2139" t="s">
        <v>58</v>
      </c>
      <c r="D2139">
        <v>2022</v>
      </c>
      <c r="E2139" t="s">
        <v>98</v>
      </c>
      <c r="F2139">
        <v>118</v>
      </c>
      <c r="G2139" t="s">
        <v>145</v>
      </c>
    </row>
    <row r="2140" spans="1:7" hidden="1" x14ac:dyDescent="0.35">
      <c r="A2140" t="s">
        <v>31</v>
      </c>
      <c r="B2140" t="s">
        <v>31</v>
      </c>
      <c r="C2140" t="s">
        <v>58</v>
      </c>
      <c r="D2140">
        <v>2023</v>
      </c>
      <c r="E2140" t="s">
        <v>62</v>
      </c>
      <c r="F2140">
        <v>89</v>
      </c>
      <c r="G2140" t="s">
        <v>145</v>
      </c>
    </row>
    <row r="2141" spans="1:7" hidden="1" x14ac:dyDescent="0.35">
      <c r="A2141" t="s">
        <v>31</v>
      </c>
      <c r="B2141" t="s">
        <v>31</v>
      </c>
      <c r="C2141" t="s">
        <v>58</v>
      </c>
      <c r="D2141">
        <v>2023</v>
      </c>
      <c r="E2141" t="s">
        <v>98</v>
      </c>
      <c r="F2141">
        <v>86</v>
      </c>
      <c r="G2141" t="s">
        <v>145</v>
      </c>
    </row>
    <row r="2142" spans="1:7" hidden="1" x14ac:dyDescent="0.35">
      <c r="A2142" t="s">
        <v>31</v>
      </c>
      <c r="B2142" t="s">
        <v>31</v>
      </c>
      <c r="C2142" t="s">
        <v>58</v>
      </c>
      <c r="D2142">
        <v>2024</v>
      </c>
      <c r="E2142" t="s">
        <v>62</v>
      </c>
      <c r="F2142">
        <v>92</v>
      </c>
      <c r="G2142" t="s">
        <v>145</v>
      </c>
    </row>
    <row r="2143" spans="1:7" hidden="1" x14ac:dyDescent="0.35">
      <c r="A2143" t="s">
        <v>31</v>
      </c>
      <c r="B2143" t="s">
        <v>31</v>
      </c>
      <c r="C2143" t="s">
        <v>58</v>
      </c>
      <c r="D2143">
        <v>2024</v>
      </c>
      <c r="E2143" t="s">
        <v>98</v>
      </c>
      <c r="F2143">
        <v>121</v>
      </c>
      <c r="G2143" t="s">
        <v>145</v>
      </c>
    </row>
    <row r="2144" spans="1:7" hidden="1" x14ac:dyDescent="0.35">
      <c r="A2144" t="s">
        <v>31</v>
      </c>
      <c r="B2144" t="s">
        <v>31</v>
      </c>
      <c r="C2144" t="s">
        <v>58</v>
      </c>
      <c r="D2144">
        <v>2025</v>
      </c>
      <c r="E2144" t="s">
        <v>62</v>
      </c>
      <c r="F2144">
        <v>98</v>
      </c>
      <c r="G2144" t="s">
        <v>145</v>
      </c>
    </row>
    <row r="2145" spans="1:7" hidden="1" x14ac:dyDescent="0.35">
      <c r="A2145" t="s">
        <v>31</v>
      </c>
      <c r="B2145" t="s">
        <v>31</v>
      </c>
      <c r="C2145" t="s">
        <v>58</v>
      </c>
      <c r="D2145">
        <v>2025</v>
      </c>
      <c r="E2145" t="s">
        <v>98</v>
      </c>
      <c r="F2145">
        <v>875</v>
      </c>
      <c r="G2145" t="s">
        <v>145</v>
      </c>
    </row>
    <row r="2146" spans="1:7" hidden="1" x14ac:dyDescent="0.35">
      <c r="A2146" t="s">
        <v>31</v>
      </c>
      <c r="B2146" t="s">
        <v>31</v>
      </c>
      <c r="C2146" t="s">
        <v>59</v>
      </c>
      <c r="D2146">
        <v>2022</v>
      </c>
      <c r="E2146" t="s">
        <v>62</v>
      </c>
      <c r="F2146">
        <v>165</v>
      </c>
      <c r="G2146" t="s">
        <v>145</v>
      </c>
    </row>
    <row r="2147" spans="1:7" hidden="1" x14ac:dyDescent="0.35">
      <c r="A2147" t="s">
        <v>31</v>
      </c>
      <c r="B2147" t="s">
        <v>31</v>
      </c>
      <c r="C2147" t="s">
        <v>59</v>
      </c>
      <c r="D2147">
        <v>2022</v>
      </c>
      <c r="E2147" t="s">
        <v>98</v>
      </c>
      <c r="F2147">
        <v>159</v>
      </c>
      <c r="G2147" t="s">
        <v>145</v>
      </c>
    </row>
    <row r="2148" spans="1:7" hidden="1" x14ac:dyDescent="0.35">
      <c r="A2148" t="s">
        <v>31</v>
      </c>
      <c r="B2148" t="s">
        <v>31</v>
      </c>
      <c r="C2148" t="s">
        <v>59</v>
      </c>
      <c r="D2148">
        <v>2023</v>
      </c>
      <c r="E2148" t="s">
        <v>62</v>
      </c>
      <c r="F2148">
        <v>124</v>
      </c>
      <c r="G2148" t="s">
        <v>145</v>
      </c>
    </row>
    <row r="2149" spans="1:7" hidden="1" x14ac:dyDescent="0.35">
      <c r="A2149" t="s">
        <v>31</v>
      </c>
      <c r="B2149" t="s">
        <v>31</v>
      </c>
      <c r="C2149" t="s">
        <v>59</v>
      </c>
      <c r="D2149">
        <v>2023</v>
      </c>
      <c r="E2149" t="s">
        <v>98</v>
      </c>
      <c r="F2149">
        <v>87</v>
      </c>
      <c r="G2149" t="s">
        <v>145</v>
      </c>
    </row>
    <row r="2150" spans="1:7" hidden="1" x14ac:dyDescent="0.35">
      <c r="A2150" t="s">
        <v>31</v>
      </c>
      <c r="B2150" t="s">
        <v>31</v>
      </c>
      <c r="C2150" t="s">
        <v>59</v>
      </c>
      <c r="D2150">
        <v>2024</v>
      </c>
      <c r="E2150" t="s">
        <v>62</v>
      </c>
      <c r="F2150">
        <v>109</v>
      </c>
      <c r="G2150" t="s">
        <v>145</v>
      </c>
    </row>
    <row r="2151" spans="1:7" hidden="1" x14ac:dyDescent="0.35">
      <c r="A2151" t="s">
        <v>31</v>
      </c>
      <c r="B2151" t="s">
        <v>31</v>
      </c>
      <c r="C2151" t="s">
        <v>59</v>
      </c>
      <c r="D2151">
        <v>2024</v>
      </c>
      <c r="E2151" t="s">
        <v>98</v>
      </c>
      <c r="F2151">
        <v>551</v>
      </c>
      <c r="G2151" t="s">
        <v>145</v>
      </c>
    </row>
    <row r="2152" spans="1:7" hidden="1" x14ac:dyDescent="0.35">
      <c r="A2152" t="s">
        <v>31</v>
      </c>
      <c r="B2152" t="s">
        <v>31</v>
      </c>
      <c r="C2152" t="s">
        <v>59</v>
      </c>
      <c r="D2152">
        <v>2025</v>
      </c>
      <c r="E2152" t="s">
        <v>62</v>
      </c>
      <c r="F2152">
        <v>533</v>
      </c>
      <c r="G2152" t="s">
        <v>145</v>
      </c>
    </row>
    <row r="2153" spans="1:7" hidden="1" x14ac:dyDescent="0.35">
      <c r="A2153" t="s">
        <v>31</v>
      </c>
      <c r="B2153" t="s">
        <v>31</v>
      </c>
      <c r="C2153" t="s">
        <v>59</v>
      </c>
      <c r="D2153">
        <v>2025</v>
      </c>
      <c r="E2153" t="s">
        <v>98</v>
      </c>
      <c r="F2153">
        <v>423</v>
      </c>
      <c r="G2153" t="s">
        <v>145</v>
      </c>
    </row>
    <row r="2154" spans="1:7" hidden="1" x14ac:dyDescent="0.35">
      <c r="A2154" t="s">
        <v>32</v>
      </c>
      <c r="B2154" t="s">
        <v>90</v>
      </c>
      <c r="C2154" t="s">
        <v>57</v>
      </c>
      <c r="D2154">
        <v>2022</v>
      </c>
      <c r="E2154" t="s">
        <v>62</v>
      </c>
      <c r="F2154">
        <v>17568</v>
      </c>
      <c r="G2154" t="s">
        <v>145</v>
      </c>
    </row>
    <row r="2155" spans="1:7" hidden="1" x14ac:dyDescent="0.35">
      <c r="A2155" t="s">
        <v>32</v>
      </c>
      <c r="B2155" t="s">
        <v>90</v>
      </c>
      <c r="C2155" t="s">
        <v>57</v>
      </c>
      <c r="D2155">
        <v>2022</v>
      </c>
      <c r="E2155" t="s">
        <v>98</v>
      </c>
      <c r="F2155">
        <v>18163</v>
      </c>
      <c r="G2155" t="s">
        <v>145</v>
      </c>
    </row>
    <row r="2156" spans="1:7" hidden="1" x14ac:dyDescent="0.35">
      <c r="A2156" t="s">
        <v>32</v>
      </c>
      <c r="B2156" t="s">
        <v>90</v>
      </c>
      <c r="C2156" t="s">
        <v>57</v>
      </c>
      <c r="D2156">
        <v>2023</v>
      </c>
      <c r="E2156" t="s">
        <v>62</v>
      </c>
      <c r="F2156">
        <v>18399</v>
      </c>
      <c r="G2156" t="s">
        <v>145</v>
      </c>
    </row>
    <row r="2157" spans="1:7" hidden="1" x14ac:dyDescent="0.35">
      <c r="A2157" t="s">
        <v>32</v>
      </c>
      <c r="B2157" t="s">
        <v>90</v>
      </c>
      <c r="C2157" t="s">
        <v>57</v>
      </c>
      <c r="D2157">
        <v>2023</v>
      </c>
      <c r="E2157" t="s">
        <v>98</v>
      </c>
      <c r="F2157">
        <v>18386</v>
      </c>
      <c r="G2157" t="s">
        <v>145</v>
      </c>
    </row>
    <row r="2158" spans="1:7" hidden="1" x14ac:dyDescent="0.35">
      <c r="A2158" t="s">
        <v>32</v>
      </c>
      <c r="B2158" t="s">
        <v>90</v>
      </c>
      <c r="C2158" t="s">
        <v>57</v>
      </c>
      <c r="D2158">
        <v>2024</v>
      </c>
      <c r="E2158" t="s">
        <v>62</v>
      </c>
      <c r="F2158">
        <v>18260</v>
      </c>
      <c r="G2158" t="s">
        <v>145</v>
      </c>
    </row>
    <row r="2159" spans="1:7" hidden="1" x14ac:dyDescent="0.35">
      <c r="A2159" t="s">
        <v>32</v>
      </c>
      <c r="B2159" t="s">
        <v>90</v>
      </c>
      <c r="C2159" t="s">
        <v>57</v>
      </c>
      <c r="D2159">
        <v>2024</v>
      </c>
      <c r="E2159" t="s">
        <v>98</v>
      </c>
      <c r="F2159">
        <v>18439</v>
      </c>
      <c r="G2159" t="s">
        <v>145</v>
      </c>
    </row>
    <row r="2160" spans="1:7" hidden="1" x14ac:dyDescent="0.35">
      <c r="A2160" t="s">
        <v>32</v>
      </c>
      <c r="B2160" t="s">
        <v>90</v>
      </c>
      <c r="C2160" t="s">
        <v>57</v>
      </c>
      <c r="D2160">
        <v>2025</v>
      </c>
      <c r="E2160" t="s">
        <v>62</v>
      </c>
      <c r="F2160">
        <v>18041</v>
      </c>
      <c r="G2160" t="s">
        <v>145</v>
      </c>
    </row>
    <row r="2161" spans="1:7" hidden="1" x14ac:dyDescent="0.35">
      <c r="A2161" t="s">
        <v>32</v>
      </c>
      <c r="B2161" t="s">
        <v>90</v>
      </c>
      <c r="C2161" t="s">
        <v>57</v>
      </c>
      <c r="D2161">
        <v>2025</v>
      </c>
      <c r="E2161" t="s">
        <v>98</v>
      </c>
      <c r="F2161">
        <v>18634</v>
      </c>
      <c r="G2161" t="s">
        <v>145</v>
      </c>
    </row>
    <row r="2162" spans="1:7" hidden="1" x14ac:dyDescent="0.35">
      <c r="A2162" t="s">
        <v>32</v>
      </c>
      <c r="B2162" t="s">
        <v>90</v>
      </c>
      <c r="C2162" t="s">
        <v>58</v>
      </c>
      <c r="D2162">
        <v>2022</v>
      </c>
      <c r="E2162" t="s">
        <v>62</v>
      </c>
      <c r="F2162">
        <v>3720</v>
      </c>
      <c r="G2162" t="s">
        <v>145</v>
      </c>
    </row>
    <row r="2163" spans="1:7" hidden="1" x14ac:dyDescent="0.35">
      <c r="A2163" t="s">
        <v>32</v>
      </c>
      <c r="B2163" t="s">
        <v>90</v>
      </c>
      <c r="C2163" t="s">
        <v>58</v>
      </c>
      <c r="D2163">
        <v>2022</v>
      </c>
      <c r="E2163" t="s">
        <v>98</v>
      </c>
      <c r="F2163">
        <v>3852</v>
      </c>
      <c r="G2163" t="s">
        <v>145</v>
      </c>
    </row>
    <row r="2164" spans="1:7" hidden="1" x14ac:dyDescent="0.35">
      <c r="A2164" t="s">
        <v>32</v>
      </c>
      <c r="B2164" t="s">
        <v>90</v>
      </c>
      <c r="C2164" t="s">
        <v>58</v>
      </c>
      <c r="D2164">
        <v>2023</v>
      </c>
      <c r="E2164" t="s">
        <v>62</v>
      </c>
      <c r="F2164">
        <v>2946</v>
      </c>
      <c r="G2164" t="s">
        <v>145</v>
      </c>
    </row>
    <row r="2165" spans="1:7" hidden="1" x14ac:dyDescent="0.35">
      <c r="A2165" t="s">
        <v>32</v>
      </c>
      <c r="B2165" t="s">
        <v>90</v>
      </c>
      <c r="C2165" t="s">
        <v>58</v>
      </c>
      <c r="D2165">
        <v>2023</v>
      </c>
      <c r="E2165" t="s">
        <v>98</v>
      </c>
      <c r="F2165">
        <v>4893</v>
      </c>
      <c r="G2165" t="s">
        <v>145</v>
      </c>
    </row>
    <row r="2166" spans="1:7" hidden="1" x14ac:dyDescent="0.35">
      <c r="A2166" t="s">
        <v>32</v>
      </c>
      <c r="B2166" t="s">
        <v>90</v>
      </c>
      <c r="C2166" t="s">
        <v>58</v>
      </c>
      <c r="D2166">
        <v>2024</v>
      </c>
      <c r="E2166" t="s">
        <v>62</v>
      </c>
      <c r="F2166">
        <v>3233</v>
      </c>
      <c r="G2166" t="s">
        <v>145</v>
      </c>
    </row>
    <row r="2167" spans="1:7" hidden="1" x14ac:dyDescent="0.35">
      <c r="A2167" t="s">
        <v>32</v>
      </c>
      <c r="B2167" t="s">
        <v>90</v>
      </c>
      <c r="C2167" t="s">
        <v>58</v>
      </c>
      <c r="D2167">
        <v>2024</v>
      </c>
      <c r="E2167" t="s">
        <v>98</v>
      </c>
      <c r="F2167">
        <v>7932</v>
      </c>
      <c r="G2167" t="s">
        <v>145</v>
      </c>
    </row>
    <row r="2168" spans="1:7" hidden="1" x14ac:dyDescent="0.35">
      <c r="A2168" t="s">
        <v>32</v>
      </c>
      <c r="B2168" t="s">
        <v>90</v>
      </c>
      <c r="C2168" t="s">
        <v>58</v>
      </c>
      <c r="D2168">
        <v>2025</v>
      </c>
      <c r="E2168" t="s">
        <v>62</v>
      </c>
      <c r="F2168">
        <v>3184</v>
      </c>
      <c r="G2168" t="s">
        <v>145</v>
      </c>
    </row>
    <row r="2169" spans="1:7" hidden="1" x14ac:dyDescent="0.35">
      <c r="A2169" t="s">
        <v>32</v>
      </c>
      <c r="B2169" t="s">
        <v>90</v>
      </c>
      <c r="C2169" t="s">
        <v>58</v>
      </c>
      <c r="D2169">
        <v>2025</v>
      </c>
      <c r="E2169" t="s">
        <v>98</v>
      </c>
      <c r="F2169">
        <v>7707</v>
      </c>
      <c r="G2169" t="s">
        <v>145</v>
      </c>
    </row>
    <row r="2170" spans="1:7" hidden="1" x14ac:dyDescent="0.35">
      <c r="A2170" t="s">
        <v>32</v>
      </c>
      <c r="B2170" t="s">
        <v>90</v>
      </c>
      <c r="C2170" t="s">
        <v>59</v>
      </c>
      <c r="D2170">
        <v>2022</v>
      </c>
      <c r="E2170" t="s">
        <v>62</v>
      </c>
      <c r="F2170">
        <v>4205</v>
      </c>
      <c r="G2170" t="s">
        <v>145</v>
      </c>
    </row>
    <row r="2171" spans="1:7" hidden="1" x14ac:dyDescent="0.35">
      <c r="A2171" t="s">
        <v>32</v>
      </c>
      <c r="B2171" t="s">
        <v>90</v>
      </c>
      <c r="C2171" t="s">
        <v>59</v>
      </c>
      <c r="D2171">
        <v>2022</v>
      </c>
      <c r="E2171" t="s">
        <v>98</v>
      </c>
      <c r="F2171">
        <v>4347</v>
      </c>
      <c r="G2171" t="s">
        <v>145</v>
      </c>
    </row>
    <row r="2172" spans="1:7" hidden="1" x14ac:dyDescent="0.35">
      <c r="A2172" t="s">
        <v>32</v>
      </c>
      <c r="B2172" t="s">
        <v>90</v>
      </c>
      <c r="C2172" t="s">
        <v>59</v>
      </c>
      <c r="D2172">
        <v>2023</v>
      </c>
      <c r="E2172" t="s">
        <v>62</v>
      </c>
      <c r="F2172">
        <v>6588</v>
      </c>
      <c r="G2172" t="s">
        <v>145</v>
      </c>
    </row>
    <row r="2173" spans="1:7" hidden="1" x14ac:dyDescent="0.35">
      <c r="A2173" t="s">
        <v>32</v>
      </c>
      <c r="B2173" t="s">
        <v>90</v>
      </c>
      <c r="C2173" t="s">
        <v>59</v>
      </c>
      <c r="D2173">
        <v>2023</v>
      </c>
      <c r="E2173" t="s">
        <v>98</v>
      </c>
      <c r="F2173">
        <v>7588</v>
      </c>
      <c r="G2173" t="s">
        <v>145</v>
      </c>
    </row>
    <row r="2174" spans="1:7" hidden="1" x14ac:dyDescent="0.35">
      <c r="A2174" t="s">
        <v>32</v>
      </c>
      <c r="B2174" t="s">
        <v>90</v>
      </c>
      <c r="C2174" t="s">
        <v>59</v>
      </c>
      <c r="D2174">
        <v>2024</v>
      </c>
      <c r="E2174" t="s">
        <v>62</v>
      </c>
      <c r="F2174">
        <v>7143</v>
      </c>
      <c r="G2174" t="s">
        <v>145</v>
      </c>
    </row>
    <row r="2175" spans="1:7" hidden="1" x14ac:dyDescent="0.35">
      <c r="A2175" t="s">
        <v>32</v>
      </c>
      <c r="B2175" t="s">
        <v>90</v>
      </c>
      <c r="C2175" t="s">
        <v>59</v>
      </c>
      <c r="D2175">
        <v>2024</v>
      </c>
      <c r="E2175" t="s">
        <v>98</v>
      </c>
      <c r="F2175">
        <v>10272</v>
      </c>
      <c r="G2175" t="s">
        <v>145</v>
      </c>
    </row>
    <row r="2176" spans="1:7" hidden="1" x14ac:dyDescent="0.35">
      <c r="A2176" t="s">
        <v>32</v>
      </c>
      <c r="B2176" t="s">
        <v>90</v>
      </c>
      <c r="C2176" t="s">
        <v>59</v>
      </c>
      <c r="D2176">
        <v>2025</v>
      </c>
      <c r="E2176" t="s">
        <v>62</v>
      </c>
      <c r="F2176">
        <v>14335</v>
      </c>
      <c r="G2176" t="s">
        <v>145</v>
      </c>
    </row>
    <row r="2177" spans="1:7" hidden="1" x14ac:dyDescent="0.35">
      <c r="A2177" t="s">
        <v>32</v>
      </c>
      <c r="B2177" t="s">
        <v>90</v>
      </c>
      <c r="C2177" t="s">
        <v>59</v>
      </c>
      <c r="D2177">
        <v>2025</v>
      </c>
      <c r="E2177" t="s">
        <v>98</v>
      </c>
      <c r="F2177">
        <v>12674</v>
      </c>
      <c r="G2177" t="s">
        <v>145</v>
      </c>
    </row>
    <row r="2178" spans="1:7" hidden="1" x14ac:dyDescent="0.35">
      <c r="A2178" t="s">
        <v>33</v>
      </c>
      <c r="B2178" t="s">
        <v>91</v>
      </c>
      <c r="C2178" t="s">
        <v>57</v>
      </c>
      <c r="D2178">
        <v>2022</v>
      </c>
      <c r="E2178" t="s">
        <v>62</v>
      </c>
      <c r="F2178">
        <v>806</v>
      </c>
      <c r="G2178" t="s">
        <v>145</v>
      </c>
    </row>
    <row r="2179" spans="1:7" hidden="1" x14ac:dyDescent="0.35">
      <c r="A2179" t="s">
        <v>33</v>
      </c>
      <c r="B2179" t="s">
        <v>91</v>
      </c>
      <c r="C2179" t="s">
        <v>57</v>
      </c>
      <c r="D2179">
        <v>2022</v>
      </c>
      <c r="E2179" t="s">
        <v>98</v>
      </c>
      <c r="F2179">
        <v>778</v>
      </c>
      <c r="G2179" t="s">
        <v>145</v>
      </c>
    </row>
    <row r="2180" spans="1:7" hidden="1" x14ac:dyDescent="0.35">
      <c r="A2180" t="s">
        <v>33</v>
      </c>
      <c r="B2180" t="s">
        <v>91</v>
      </c>
      <c r="C2180" t="s">
        <v>57</v>
      </c>
      <c r="D2180">
        <v>2023</v>
      </c>
      <c r="E2180" t="s">
        <v>62</v>
      </c>
      <c r="F2180">
        <v>1003</v>
      </c>
      <c r="G2180" t="s">
        <v>145</v>
      </c>
    </row>
    <row r="2181" spans="1:7" hidden="1" x14ac:dyDescent="0.35">
      <c r="A2181" t="s">
        <v>33</v>
      </c>
      <c r="B2181" t="s">
        <v>91</v>
      </c>
      <c r="C2181" t="s">
        <v>57</v>
      </c>
      <c r="D2181">
        <v>2023</v>
      </c>
      <c r="E2181" t="s">
        <v>98</v>
      </c>
      <c r="F2181">
        <v>1015</v>
      </c>
      <c r="G2181" t="s">
        <v>145</v>
      </c>
    </row>
    <row r="2182" spans="1:7" hidden="1" x14ac:dyDescent="0.35">
      <c r="A2182" t="s">
        <v>33</v>
      </c>
      <c r="B2182" t="s">
        <v>91</v>
      </c>
      <c r="C2182" t="s">
        <v>57</v>
      </c>
      <c r="D2182">
        <v>2024</v>
      </c>
      <c r="E2182" t="s">
        <v>62</v>
      </c>
      <c r="F2182">
        <v>1209</v>
      </c>
      <c r="G2182" t="s">
        <v>145</v>
      </c>
    </row>
    <row r="2183" spans="1:7" hidden="1" x14ac:dyDescent="0.35">
      <c r="A2183" t="s">
        <v>33</v>
      </c>
      <c r="B2183" t="s">
        <v>91</v>
      </c>
      <c r="C2183" t="s">
        <v>57</v>
      </c>
      <c r="D2183">
        <v>2024</v>
      </c>
      <c r="E2183" t="s">
        <v>98</v>
      </c>
      <c r="F2183">
        <v>1155</v>
      </c>
      <c r="G2183" t="s">
        <v>145</v>
      </c>
    </row>
    <row r="2184" spans="1:7" hidden="1" x14ac:dyDescent="0.35">
      <c r="A2184" t="s">
        <v>33</v>
      </c>
      <c r="B2184" t="s">
        <v>91</v>
      </c>
      <c r="C2184" t="s">
        <v>57</v>
      </c>
      <c r="D2184">
        <v>2025</v>
      </c>
      <c r="E2184" t="s">
        <v>62</v>
      </c>
      <c r="F2184">
        <v>1333</v>
      </c>
      <c r="G2184" t="s">
        <v>145</v>
      </c>
    </row>
    <row r="2185" spans="1:7" hidden="1" x14ac:dyDescent="0.35">
      <c r="A2185" t="s">
        <v>33</v>
      </c>
      <c r="B2185" t="s">
        <v>91</v>
      </c>
      <c r="C2185" t="s">
        <v>57</v>
      </c>
      <c r="D2185">
        <v>2025</v>
      </c>
      <c r="E2185" t="s">
        <v>98</v>
      </c>
      <c r="F2185">
        <v>35</v>
      </c>
      <c r="G2185" t="s">
        <v>145</v>
      </c>
    </row>
    <row r="2186" spans="1:7" hidden="1" x14ac:dyDescent="0.35">
      <c r="A2186" t="s">
        <v>33</v>
      </c>
      <c r="B2186" t="s">
        <v>91</v>
      </c>
      <c r="C2186" t="s">
        <v>59</v>
      </c>
      <c r="D2186">
        <v>2022</v>
      </c>
      <c r="E2186" t="s">
        <v>62</v>
      </c>
      <c r="F2186">
        <v>310</v>
      </c>
      <c r="G2186" t="s">
        <v>145</v>
      </c>
    </row>
    <row r="2187" spans="1:7" hidden="1" x14ac:dyDescent="0.35">
      <c r="A2187" t="s">
        <v>33</v>
      </c>
      <c r="B2187" t="s">
        <v>91</v>
      </c>
      <c r="C2187" t="s">
        <v>59</v>
      </c>
      <c r="D2187">
        <v>2022</v>
      </c>
      <c r="E2187" t="s">
        <v>98</v>
      </c>
      <c r="F2187">
        <v>282</v>
      </c>
      <c r="G2187" t="s">
        <v>145</v>
      </c>
    </row>
    <row r="2188" spans="1:7" hidden="1" x14ac:dyDescent="0.35">
      <c r="A2188" t="s">
        <v>33</v>
      </c>
      <c r="B2188" t="s">
        <v>91</v>
      </c>
      <c r="C2188" t="s">
        <v>59</v>
      </c>
      <c r="D2188">
        <v>2023</v>
      </c>
      <c r="E2188" t="s">
        <v>62</v>
      </c>
      <c r="F2188">
        <v>194</v>
      </c>
      <c r="G2188" t="s">
        <v>145</v>
      </c>
    </row>
    <row r="2189" spans="1:7" hidden="1" x14ac:dyDescent="0.35">
      <c r="A2189" t="s">
        <v>33</v>
      </c>
      <c r="B2189" t="s">
        <v>91</v>
      </c>
      <c r="C2189" t="s">
        <v>59</v>
      </c>
      <c r="D2189">
        <v>2023</v>
      </c>
      <c r="E2189" t="s">
        <v>98</v>
      </c>
      <c r="F2189">
        <v>400</v>
      </c>
      <c r="G2189" t="s">
        <v>145</v>
      </c>
    </row>
    <row r="2190" spans="1:7" hidden="1" x14ac:dyDescent="0.35">
      <c r="A2190" t="s">
        <v>33</v>
      </c>
      <c r="B2190" t="s">
        <v>91</v>
      </c>
      <c r="C2190" t="s">
        <v>59</v>
      </c>
      <c r="D2190">
        <v>2024</v>
      </c>
      <c r="E2190" t="s">
        <v>62</v>
      </c>
      <c r="F2190">
        <v>319</v>
      </c>
      <c r="G2190" t="s">
        <v>145</v>
      </c>
    </row>
    <row r="2191" spans="1:7" hidden="1" x14ac:dyDescent="0.35">
      <c r="A2191" t="s">
        <v>33</v>
      </c>
      <c r="B2191" t="s">
        <v>91</v>
      </c>
      <c r="C2191" t="s">
        <v>59</v>
      </c>
      <c r="D2191">
        <v>2024</v>
      </c>
      <c r="E2191" t="s">
        <v>98</v>
      </c>
      <c r="F2191">
        <v>231</v>
      </c>
      <c r="G2191" t="s">
        <v>145</v>
      </c>
    </row>
    <row r="2192" spans="1:7" hidden="1" x14ac:dyDescent="0.35">
      <c r="A2192" t="s">
        <v>33</v>
      </c>
      <c r="B2192" t="s">
        <v>91</v>
      </c>
      <c r="C2192" t="s">
        <v>59</v>
      </c>
      <c r="D2192">
        <v>2025</v>
      </c>
      <c r="E2192" t="s">
        <v>62</v>
      </c>
      <c r="F2192">
        <v>141</v>
      </c>
      <c r="G2192" t="s">
        <v>145</v>
      </c>
    </row>
    <row r="2193" spans="1:7" hidden="1" x14ac:dyDescent="0.35">
      <c r="A2193" t="s">
        <v>33</v>
      </c>
      <c r="B2193" t="s">
        <v>91</v>
      </c>
      <c r="C2193" t="s">
        <v>59</v>
      </c>
      <c r="D2193">
        <v>2025</v>
      </c>
      <c r="E2193" t="s">
        <v>98</v>
      </c>
      <c r="F2193">
        <v>70</v>
      </c>
      <c r="G2193" t="s">
        <v>145</v>
      </c>
    </row>
    <row r="2194" spans="1:7" hidden="1" x14ac:dyDescent="0.35">
      <c r="A2194" t="s">
        <v>34</v>
      </c>
      <c r="B2194" t="s">
        <v>92</v>
      </c>
      <c r="C2194" t="s">
        <v>57</v>
      </c>
      <c r="D2194">
        <v>2022</v>
      </c>
      <c r="E2194" t="s">
        <v>62</v>
      </c>
      <c r="F2194">
        <v>810</v>
      </c>
      <c r="G2194" t="s">
        <v>145</v>
      </c>
    </row>
    <row r="2195" spans="1:7" hidden="1" x14ac:dyDescent="0.35">
      <c r="A2195" t="s">
        <v>34</v>
      </c>
      <c r="B2195" t="s">
        <v>92</v>
      </c>
      <c r="C2195" t="s">
        <v>57</v>
      </c>
      <c r="D2195">
        <v>2022</v>
      </c>
      <c r="E2195" t="s">
        <v>98</v>
      </c>
      <c r="F2195">
        <v>584</v>
      </c>
      <c r="G2195" t="s">
        <v>145</v>
      </c>
    </row>
    <row r="2196" spans="1:7" hidden="1" x14ac:dyDescent="0.35">
      <c r="A2196" t="s">
        <v>34</v>
      </c>
      <c r="B2196" t="s">
        <v>92</v>
      </c>
      <c r="C2196" t="s">
        <v>57</v>
      </c>
      <c r="D2196">
        <v>2023</v>
      </c>
      <c r="E2196" t="s">
        <v>62</v>
      </c>
      <c r="F2196">
        <v>1405</v>
      </c>
      <c r="G2196" t="s">
        <v>145</v>
      </c>
    </row>
    <row r="2197" spans="1:7" hidden="1" x14ac:dyDescent="0.35">
      <c r="A2197" t="s">
        <v>34</v>
      </c>
      <c r="B2197" t="s">
        <v>92</v>
      </c>
      <c r="C2197" t="s">
        <v>57</v>
      </c>
      <c r="D2197">
        <v>2023</v>
      </c>
      <c r="E2197" t="s">
        <v>98</v>
      </c>
      <c r="F2197">
        <v>694</v>
      </c>
      <c r="G2197" t="s">
        <v>145</v>
      </c>
    </row>
    <row r="2198" spans="1:7" hidden="1" x14ac:dyDescent="0.35">
      <c r="A2198" t="s">
        <v>34</v>
      </c>
      <c r="B2198" t="s">
        <v>92</v>
      </c>
      <c r="C2198" t="s">
        <v>57</v>
      </c>
      <c r="D2198">
        <v>2024</v>
      </c>
      <c r="E2198" t="s">
        <v>62</v>
      </c>
      <c r="F2198">
        <v>1687</v>
      </c>
      <c r="G2198" t="s">
        <v>145</v>
      </c>
    </row>
    <row r="2199" spans="1:7" hidden="1" x14ac:dyDescent="0.35">
      <c r="A2199" t="s">
        <v>34</v>
      </c>
      <c r="B2199" t="s">
        <v>92</v>
      </c>
      <c r="C2199" t="s">
        <v>57</v>
      </c>
      <c r="D2199">
        <v>2024</v>
      </c>
      <c r="E2199" t="s">
        <v>98</v>
      </c>
      <c r="F2199">
        <v>902</v>
      </c>
      <c r="G2199" t="s">
        <v>145</v>
      </c>
    </row>
    <row r="2200" spans="1:7" hidden="1" x14ac:dyDescent="0.35">
      <c r="A2200" t="s">
        <v>34</v>
      </c>
      <c r="B2200" t="s">
        <v>92</v>
      </c>
      <c r="C2200" t="s">
        <v>57</v>
      </c>
      <c r="D2200">
        <v>2025</v>
      </c>
      <c r="E2200" t="s">
        <v>62</v>
      </c>
      <c r="F2200">
        <v>1297</v>
      </c>
      <c r="G2200" t="s">
        <v>145</v>
      </c>
    </row>
    <row r="2201" spans="1:7" hidden="1" x14ac:dyDescent="0.35">
      <c r="A2201" t="s">
        <v>34</v>
      </c>
      <c r="B2201" t="s">
        <v>92</v>
      </c>
      <c r="C2201" t="s">
        <v>57</v>
      </c>
      <c r="D2201">
        <v>2025</v>
      </c>
      <c r="E2201" t="s">
        <v>98</v>
      </c>
      <c r="F2201">
        <v>938</v>
      </c>
      <c r="G2201" t="s">
        <v>145</v>
      </c>
    </row>
    <row r="2202" spans="1:7" hidden="1" x14ac:dyDescent="0.35">
      <c r="A2202" t="s">
        <v>34</v>
      </c>
      <c r="B2202" t="s">
        <v>92</v>
      </c>
      <c r="C2202" t="s">
        <v>59</v>
      </c>
      <c r="D2202">
        <v>2022</v>
      </c>
      <c r="E2202" t="s">
        <v>62</v>
      </c>
      <c r="F2202">
        <v>62</v>
      </c>
      <c r="G2202" t="s">
        <v>145</v>
      </c>
    </row>
    <row r="2203" spans="1:7" hidden="1" x14ac:dyDescent="0.35">
      <c r="A2203" t="s">
        <v>34</v>
      </c>
      <c r="B2203" t="s">
        <v>92</v>
      </c>
      <c r="C2203" t="s">
        <v>59</v>
      </c>
      <c r="D2203">
        <v>2022</v>
      </c>
      <c r="E2203" t="s">
        <v>98</v>
      </c>
      <c r="F2203">
        <v>63</v>
      </c>
      <c r="G2203" t="s">
        <v>145</v>
      </c>
    </row>
    <row r="2204" spans="1:7" hidden="1" x14ac:dyDescent="0.35">
      <c r="A2204" t="s">
        <v>34</v>
      </c>
      <c r="B2204" t="s">
        <v>92</v>
      </c>
      <c r="C2204" t="s">
        <v>59</v>
      </c>
      <c r="D2204">
        <v>2023</v>
      </c>
      <c r="E2204" t="s">
        <v>62</v>
      </c>
      <c r="F2204">
        <v>44</v>
      </c>
      <c r="G2204" t="s">
        <v>145</v>
      </c>
    </row>
    <row r="2205" spans="1:7" hidden="1" x14ac:dyDescent="0.35">
      <c r="A2205" t="s">
        <v>34</v>
      </c>
      <c r="B2205" t="s">
        <v>92</v>
      </c>
      <c r="C2205" t="s">
        <v>59</v>
      </c>
      <c r="D2205">
        <v>2023</v>
      </c>
      <c r="E2205" t="s">
        <v>98</v>
      </c>
      <c r="F2205">
        <v>52</v>
      </c>
      <c r="G2205" t="s">
        <v>145</v>
      </c>
    </row>
    <row r="2206" spans="1:7" hidden="1" x14ac:dyDescent="0.35">
      <c r="A2206" t="s">
        <v>34</v>
      </c>
      <c r="B2206" t="s">
        <v>92</v>
      </c>
      <c r="C2206" t="s">
        <v>59</v>
      </c>
      <c r="D2206">
        <v>2024</v>
      </c>
      <c r="E2206" t="s">
        <v>62</v>
      </c>
      <c r="F2206">
        <v>53</v>
      </c>
      <c r="G2206" t="s">
        <v>145</v>
      </c>
    </row>
    <row r="2207" spans="1:7" hidden="1" x14ac:dyDescent="0.35">
      <c r="A2207" t="s">
        <v>34</v>
      </c>
      <c r="B2207" t="s">
        <v>92</v>
      </c>
      <c r="C2207" t="s">
        <v>59</v>
      </c>
      <c r="D2207">
        <v>2024</v>
      </c>
      <c r="E2207" t="s">
        <v>98</v>
      </c>
      <c r="F2207">
        <v>66</v>
      </c>
      <c r="G2207" t="s">
        <v>145</v>
      </c>
    </row>
    <row r="2208" spans="1:7" hidden="1" x14ac:dyDescent="0.35">
      <c r="A2208" t="s">
        <v>34</v>
      </c>
      <c r="B2208" t="s">
        <v>92</v>
      </c>
      <c r="C2208" t="s">
        <v>59</v>
      </c>
      <c r="D2208">
        <v>2025</v>
      </c>
      <c r="E2208" t="s">
        <v>62</v>
      </c>
      <c r="F2208">
        <v>49</v>
      </c>
      <c r="G2208" t="s">
        <v>145</v>
      </c>
    </row>
    <row r="2209" spans="1:7" hidden="1" x14ac:dyDescent="0.35">
      <c r="A2209" t="s">
        <v>34</v>
      </c>
      <c r="B2209" t="s">
        <v>92</v>
      </c>
      <c r="C2209" t="s">
        <v>59</v>
      </c>
      <c r="D2209">
        <v>2025</v>
      </c>
      <c r="E2209" t="s">
        <v>98</v>
      </c>
      <c r="F2209">
        <v>62</v>
      </c>
      <c r="G2209" t="s">
        <v>145</v>
      </c>
    </row>
    <row r="2210" spans="1:7" hidden="1" x14ac:dyDescent="0.35">
      <c r="A2210" t="s">
        <v>35</v>
      </c>
      <c r="B2210" t="s">
        <v>93</v>
      </c>
      <c r="C2210" t="s">
        <v>57</v>
      </c>
      <c r="D2210">
        <v>2022</v>
      </c>
      <c r="E2210" t="s">
        <v>62</v>
      </c>
      <c r="F2210">
        <v>287</v>
      </c>
      <c r="G2210" t="s">
        <v>145</v>
      </c>
    </row>
    <row r="2211" spans="1:7" hidden="1" x14ac:dyDescent="0.35">
      <c r="A2211" t="s">
        <v>35</v>
      </c>
      <c r="B2211" t="s">
        <v>93</v>
      </c>
      <c r="C2211" t="s">
        <v>57</v>
      </c>
      <c r="D2211">
        <v>2022</v>
      </c>
      <c r="E2211" t="s">
        <v>98</v>
      </c>
      <c r="F2211">
        <v>249</v>
      </c>
      <c r="G2211" t="s">
        <v>145</v>
      </c>
    </row>
    <row r="2212" spans="1:7" hidden="1" x14ac:dyDescent="0.35">
      <c r="A2212" t="s">
        <v>35</v>
      </c>
      <c r="B2212" t="s">
        <v>93</v>
      </c>
      <c r="C2212" t="s">
        <v>57</v>
      </c>
      <c r="D2212">
        <v>2023</v>
      </c>
      <c r="E2212" t="s">
        <v>62</v>
      </c>
      <c r="F2212">
        <v>253</v>
      </c>
      <c r="G2212" t="s">
        <v>145</v>
      </c>
    </row>
    <row r="2213" spans="1:7" hidden="1" x14ac:dyDescent="0.35">
      <c r="A2213" t="s">
        <v>35</v>
      </c>
      <c r="B2213" t="s">
        <v>93</v>
      </c>
      <c r="C2213" t="s">
        <v>57</v>
      </c>
      <c r="D2213">
        <v>2023</v>
      </c>
      <c r="E2213" t="s">
        <v>98</v>
      </c>
      <c r="F2213">
        <v>167</v>
      </c>
      <c r="G2213" t="s">
        <v>145</v>
      </c>
    </row>
    <row r="2214" spans="1:7" hidden="1" x14ac:dyDescent="0.35">
      <c r="A2214" t="s">
        <v>35</v>
      </c>
      <c r="B2214" t="s">
        <v>93</v>
      </c>
      <c r="C2214" t="s">
        <v>57</v>
      </c>
      <c r="D2214">
        <v>2024</v>
      </c>
      <c r="E2214" t="s">
        <v>62</v>
      </c>
      <c r="F2214">
        <v>92</v>
      </c>
      <c r="G2214" t="s">
        <v>145</v>
      </c>
    </row>
    <row r="2215" spans="1:7" hidden="1" x14ac:dyDescent="0.35">
      <c r="A2215" t="s">
        <v>35</v>
      </c>
      <c r="B2215" t="s">
        <v>93</v>
      </c>
      <c r="C2215" t="s">
        <v>57</v>
      </c>
      <c r="D2215">
        <v>2024</v>
      </c>
      <c r="E2215" t="s">
        <v>98</v>
      </c>
      <c r="F2215">
        <v>44</v>
      </c>
      <c r="G2215" t="s">
        <v>145</v>
      </c>
    </row>
    <row r="2216" spans="1:7" hidden="1" x14ac:dyDescent="0.35">
      <c r="A2216" t="s">
        <v>35</v>
      </c>
      <c r="B2216" t="s">
        <v>93</v>
      </c>
      <c r="C2216" t="s">
        <v>57</v>
      </c>
      <c r="D2216">
        <v>2025</v>
      </c>
      <c r="E2216" t="s">
        <v>62</v>
      </c>
      <c r="F2216">
        <v>170</v>
      </c>
      <c r="G2216" t="s">
        <v>145</v>
      </c>
    </row>
    <row r="2217" spans="1:7" hidden="1" x14ac:dyDescent="0.35">
      <c r="A2217" t="s">
        <v>35</v>
      </c>
      <c r="B2217" t="s">
        <v>93</v>
      </c>
      <c r="C2217" t="s">
        <v>57</v>
      </c>
      <c r="D2217">
        <v>2025</v>
      </c>
      <c r="E2217" t="s">
        <v>98</v>
      </c>
      <c r="F2217">
        <v>-388</v>
      </c>
      <c r="G2217" t="s">
        <v>145</v>
      </c>
    </row>
    <row r="2218" spans="1:7" hidden="1" x14ac:dyDescent="0.35">
      <c r="A2218" t="s">
        <v>35</v>
      </c>
      <c r="B2218" t="s">
        <v>93</v>
      </c>
      <c r="C2218" t="s">
        <v>59</v>
      </c>
      <c r="D2218">
        <v>2022</v>
      </c>
      <c r="E2218" t="s">
        <v>62</v>
      </c>
      <c r="F2218">
        <v>0</v>
      </c>
      <c r="G2218" t="s">
        <v>145</v>
      </c>
    </row>
    <row r="2219" spans="1:7" hidden="1" x14ac:dyDescent="0.35">
      <c r="A2219" t="s">
        <v>35</v>
      </c>
      <c r="B2219" t="s">
        <v>93</v>
      </c>
      <c r="C2219" t="s">
        <v>59</v>
      </c>
      <c r="D2219">
        <v>2022</v>
      </c>
      <c r="E2219" t="s">
        <v>98</v>
      </c>
      <c r="F2219">
        <v>0</v>
      </c>
      <c r="G2219" t="s">
        <v>145</v>
      </c>
    </row>
    <row r="2220" spans="1:7" hidden="1" x14ac:dyDescent="0.35">
      <c r="A2220" t="s">
        <v>35</v>
      </c>
      <c r="B2220" t="s">
        <v>93</v>
      </c>
      <c r="C2220" t="s">
        <v>59</v>
      </c>
      <c r="D2220">
        <v>2023</v>
      </c>
      <c r="E2220" t="s">
        <v>62</v>
      </c>
      <c r="F2220">
        <v>0</v>
      </c>
      <c r="G2220" t="s">
        <v>145</v>
      </c>
    </row>
    <row r="2221" spans="1:7" hidden="1" x14ac:dyDescent="0.35">
      <c r="A2221" t="s">
        <v>35</v>
      </c>
      <c r="B2221" t="s">
        <v>93</v>
      </c>
      <c r="C2221" t="s">
        <v>59</v>
      </c>
      <c r="D2221">
        <v>2023</v>
      </c>
      <c r="E2221" t="s">
        <v>98</v>
      </c>
      <c r="F2221">
        <v>0</v>
      </c>
      <c r="G2221" t="s">
        <v>145</v>
      </c>
    </row>
    <row r="2222" spans="1:7" hidden="1" x14ac:dyDescent="0.35">
      <c r="A2222" t="s">
        <v>35</v>
      </c>
      <c r="B2222" t="s">
        <v>93</v>
      </c>
      <c r="C2222" t="s">
        <v>59</v>
      </c>
      <c r="D2222">
        <v>2024</v>
      </c>
      <c r="E2222" t="s">
        <v>62</v>
      </c>
      <c r="F2222">
        <v>0</v>
      </c>
      <c r="G2222" t="s">
        <v>145</v>
      </c>
    </row>
    <row r="2223" spans="1:7" hidden="1" x14ac:dyDescent="0.35">
      <c r="A2223" t="s">
        <v>35</v>
      </c>
      <c r="B2223" t="s">
        <v>93</v>
      </c>
      <c r="C2223" t="s">
        <v>59</v>
      </c>
      <c r="D2223">
        <v>2024</v>
      </c>
      <c r="E2223" t="s">
        <v>98</v>
      </c>
      <c r="F2223">
        <v>0</v>
      </c>
      <c r="G2223" t="s">
        <v>145</v>
      </c>
    </row>
    <row r="2224" spans="1:7" hidden="1" x14ac:dyDescent="0.35">
      <c r="A2224" t="s">
        <v>35</v>
      </c>
      <c r="B2224" t="s">
        <v>93</v>
      </c>
      <c r="C2224" t="s">
        <v>59</v>
      </c>
      <c r="D2224">
        <v>2025</v>
      </c>
      <c r="E2224" t="s">
        <v>62</v>
      </c>
      <c r="F2224">
        <v>0</v>
      </c>
      <c r="G2224" t="s">
        <v>145</v>
      </c>
    </row>
    <row r="2225" spans="1:7" hidden="1" x14ac:dyDescent="0.35">
      <c r="A2225" t="s">
        <v>35</v>
      </c>
      <c r="B2225" t="s">
        <v>93</v>
      </c>
      <c r="C2225" t="s">
        <v>59</v>
      </c>
      <c r="D2225">
        <v>2025</v>
      </c>
      <c r="E2225" t="s">
        <v>98</v>
      </c>
      <c r="F2225">
        <v>0</v>
      </c>
      <c r="G2225" t="s">
        <v>145</v>
      </c>
    </row>
    <row r="2226" spans="1:7" hidden="1" x14ac:dyDescent="0.35">
      <c r="A2226" t="s">
        <v>36</v>
      </c>
      <c r="B2226" t="s">
        <v>94</v>
      </c>
      <c r="C2226" t="s">
        <v>57</v>
      </c>
      <c r="D2226">
        <v>2022</v>
      </c>
      <c r="E2226" t="s">
        <v>62</v>
      </c>
      <c r="F2226">
        <v>451</v>
      </c>
      <c r="G2226" t="s">
        <v>145</v>
      </c>
    </row>
    <row r="2227" spans="1:7" hidden="1" x14ac:dyDescent="0.35">
      <c r="A2227" t="s">
        <v>36</v>
      </c>
      <c r="B2227" t="s">
        <v>94</v>
      </c>
      <c r="C2227" t="s">
        <v>57</v>
      </c>
      <c r="D2227">
        <v>2022</v>
      </c>
      <c r="E2227" t="s">
        <v>98</v>
      </c>
      <c r="F2227">
        <v>583</v>
      </c>
      <c r="G2227" t="s">
        <v>145</v>
      </c>
    </row>
    <row r="2228" spans="1:7" hidden="1" x14ac:dyDescent="0.35">
      <c r="A2228" t="s">
        <v>36</v>
      </c>
      <c r="B2228" t="s">
        <v>94</v>
      </c>
      <c r="C2228" t="s">
        <v>57</v>
      </c>
      <c r="D2228">
        <v>2023</v>
      </c>
      <c r="E2228" t="s">
        <v>62</v>
      </c>
      <c r="F2228">
        <v>823</v>
      </c>
      <c r="G2228" t="s">
        <v>145</v>
      </c>
    </row>
    <row r="2229" spans="1:7" hidden="1" x14ac:dyDescent="0.35">
      <c r="A2229" t="s">
        <v>36</v>
      </c>
      <c r="B2229" t="s">
        <v>94</v>
      </c>
      <c r="C2229" t="s">
        <v>57</v>
      </c>
      <c r="D2229">
        <v>2023</v>
      </c>
      <c r="E2229" t="s">
        <v>98</v>
      </c>
      <c r="F2229">
        <v>1089</v>
      </c>
      <c r="G2229" t="s">
        <v>145</v>
      </c>
    </row>
    <row r="2230" spans="1:7" hidden="1" x14ac:dyDescent="0.35">
      <c r="A2230" t="s">
        <v>36</v>
      </c>
      <c r="B2230" t="s">
        <v>94</v>
      </c>
      <c r="C2230" t="s">
        <v>57</v>
      </c>
      <c r="D2230">
        <v>2024</v>
      </c>
      <c r="E2230" t="s">
        <v>62</v>
      </c>
      <c r="F2230">
        <v>1248</v>
      </c>
      <c r="G2230" t="s">
        <v>145</v>
      </c>
    </row>
    <row r="2231" spans="1:7" hidden="1" x14ac:dyDescent="0.35">
      <c r="A2231" t="s">
        <v>36</v>
      </c>
      <c r="B2231" t="s">
        <v>94</v>
      </c>
      <c r="C2231" t="s">
        <v>57</v>
      </c>
      <c r="D2231">
        <v>2024</v>
      </c>
      <c r="E2231" t="s">
        <v>98</v>
      </c>
      <c r="F2231">
        <v>1704</v>
      </c>
      <c r="G2231" t="s">
        <v>145</v>
      </c>
    </row>
    <row r="2232" spans="1:7" hidden="1" x14ac:dyDescent="0.35">
      <c r="A2232" t="s">
        <v>36</v>
      </c>
      <c r="B2232" t="s">
        <v>94</v>
      </c>
      <c r="C2232" t="s">
        <v>57</v>
      </c>
      <c r="D2232">
        <v>2025</v>
      </c>
      <c r="E2232" t="s">
        <v>62</v>
      </c>
      <c r="F2232">
        <v>2090</v>
      </c>
      <c r="G2232" t="s">
        <v>145</v>
      </c>
    </row>
    <row r="2233" spans="1:7" hidden="1" x14ac:dyDescent="0.35">
      <c r="A2233" t="s">
        <v>36</v>
      </c>
      <c r="B2233" t="s">
        <v>94</v>
      </c>
      <c r="C2233" t="s">
        <v>57</v>
      </c>
      <c r="D2233">
        <v>2025</v>
      </c>
      <c r="E2233" t="s">
        <v>98</v>
      </c>
      <c r="F2233">
        <v>2319</v>
      </c>
      <c r="G2233" t="s">
        <v>145</v>
      </c>
    </row>
    <row r="2234" spans="1:7" hidden="1" x14ac:dyDescent="0.35">
      <c r="A2234" t="s">
        <v>36</v>
      </c>
      <c r="B2234" t="s">
        <v>94</v>
      </c>
      <c r="C2234" t="s">
        <v>58</v>
      </c>
      <c r="D2234">
        <v>2022</v>
      </c>
      <c r="E2234" t="s">
        <v>62</v>
      </c>
      <c r="F2234">
        <v>128</v>
      </c>
      <c r="G2234" t="s">
        <v>145</v>
      </c>
    </row>
    <row r="2235" spans="1:7" hidden="1" x14ac:dyDescent="0.35">
      <c r="A2235" t="s">
        <v>36</v>
      </c>
      <c r="B2235" t="s">
        <v>94</v>
      </c>
      <c r="C2235" t="s">
        <v>58</v>
      </c>
      <c r="D2235">
        <v>2022</v>
      </c>
      <c r="E2235" t="s">
        <v>98</v>
      </c>
      <c r="F2235">
        <v>980</v>
      </c>
      <c r="G2235" t="s">
        <v>145</v>
      </c>
    </row>
    <row r="2236" spans="1:7" hidden="1" x14ac:dyDescent="0.35">
      <c r="A2236" t="s">
        <v>36</v>
      </c>
      <c r="B2236" t="s">
        <v>94</v>
      </c>
      <c r="C2236" t="s">
        <v>58</v>
      </c>
      <c r="D2236">
        <v>2023</v>
      </c>
      <c r="E2236" t="s">
        <v>62</v>
      </c>
      <c r="F2236">
        <v>587</v>
      </c>
      <c r="G2236" t="s">
        <v>145</v>
      </c>
    </row>
    <row r="2237" spans="1:7" hidden="1" x14ac:dyDescent="0.35">
      <c r="A2237" t="s">
        <v>36</v>
      </c>
      <c r="B2237" t="s">
        <v>94</v>
      </c>
      <c r="C2237" t="s">
        <v>58</v>
      </c>
      <c r="D2237">
        <v>2023</v>
      </c>
      <c r="E2237" t="s">
        <v>98</v>
      </c>
      <c r="F2237">
        <v>474</v>
      </c>
      <c r="G2237" t="s">
        <v>145</v>
      </c>
    </row>
    <row r="2238" spans="1:7" hidden="1" x14ac:dyDescent="0.35">
      <c r="A2238" t="s">
        <v>36</v>
      </c>
      <c r="B2238" t="s">
        <v>94</v>
      </c>
      <c r="C2238" t="s">
        <v>58</v>
      </c>
      <c r="D2238">
        <v>2024</v>
      </c>
      <c r="E2238" t="s">
        <v>62</v>
      </c>
      <c r="F2238">
        <v>568</v>
      </c>
      <c r="G2238" t="s">
        <v>145</v>
      </c>
    </row>
    <row r="2239" spans="1:7" hidden="1" x14ac:dyDescent="0.35">
      <c r="A2239" t="s">
        <v>36</v>
      </c>
      <c r="B2239" t="s">
        <v>94</v>
      </c>
      <c r="C2239" t="s">
        <v>58</v>
      </c>
      <c r="D2239">
        <v>2024</v>
      </c>
      <c r="E2239" t="s">
        <v>98</v>
      </c>
      <c r="F2239">
        <v>1121</v>
      </c>
      <c r="G2239" t="s">
        <v>145</v>
      </c>
    </row>
    <row r="2240" spans="1:7" hidden="1" x14ac:dyDescent="0.35">
      <c r="A2240" t="s">
        <v>36</v>
      </c>
      <c r="B2240" t="s">
        <v>94</v>
      </c>
      <c r="C2240" t="s">
        <v>58</v>
      </c>
      <c r="D2240">
        <v>2025</v>
      </c>
      <c r="E2240" t="s">
        <v>62</v>
      </c>
      <c r="F2240">
        <v>925</v>
      </c>
      <c r="G2240" t="s">
        <v>145</v>
      </c>
    </row>
    <row r="2241" spans="1:7" hidden="1" x14ac:dyDescent="0.35">
      <c r="A2241" t="s">
        <v>36</v>
      </c>
      <c r="B2241" t="s">
        <v>94</v>
      </c>
      <c r="C2241" t="s">
        <v>58</v>
      </c>
      <c r="D2241">
        <v>2025</v>
      </c>
      <c r="E2241" t="s">
        <v>98</v>
      </c>
      <c r="F2241">
        <v>1130</v>
      </c>
      <c r="G2241" t="s">
        <v>145</v>
      </c>
    </row>
    <row r="2242" spans="1:7" hidden="1" x14ac:dyDescent="0.35">
      <c r="A2242" t="s">
        <v>36</v>
      </c>
      <c r="B2242" t="s">
        <v>94</v>
      </c>
      <c r="C2242" t="s">
        <v>59</v>
      </c>
      <c r="D2242">
        <v>2022</v>
      </c>
      <c r="E2242" t="s">
        <v>62</v>
      </c>
      <c r="F2242">
        <v>0</v>
      </c>
      <c r="G2242" t="s">
        <v>145</v>
      </c>
    </row>
    <row r="2243" spans="1:7" hidden="1" x14ac:dyDescent="0.35">
      <c r="A2243" t="s">
        <v>36</v>
      </c>
      <c r="B2243" t="s">
        <v>94</v>
      </c>
      <c r="C2243" t="s">
        <v>59</v>
      </c>
      <c r="D2243">
        <v>2022</v>
      </c>
      <c r="E2243" t="s">
        <v>98</v>
      </c>
      <c r="F2243">
        <v>0</v>
      </c>
      <c r="G2243" t="s">
        <v>145</v>
      </c>
    </row>
    <row r="2244" spans="1:7" hidden="1" x14ac:dyDescent="0.35">
      <c r="A2244" t="s">
        <v>36</v>
      </c>
      <c r="B2244" t="s">
        <v>94</v>
      </c>
      <c r="C2244" t="s">
        <v>59</v>
      </c>
      <c r="D2244">
        <v>2023</v>
      </c>
      <c r="E2244" t="s">
        <v>62</v>
      </c>
      <c r="F2244">
        <v>0</v>
      </c>
      <c r="G2244" t="s">
        <v>145</v>
      </c>
    </row>
    <row r="2245" spans="1:7" hidden="1" x14ac:dyDescent="0.35">
      <c r="A2245" t="s">
        <v>36</v>
      </c>
      <c r="B2245" t="s">
        <v>94</v>
      </c>
      <c r="C2245" t="s">
        <v>59</v>
      </c>
      <c r="D2245">
        <v>2023</v>
      </c>
      <c r="E2245" t="s">
        <v>98</v>
      </c>
      <c r="F2245">
        <v>0</v>
      </c>
      <c r="G2245" t="s">
        <v>145</v>
      </c>
    </row>
    <row r="2246" spans="1:7" hidden="1" x14ac:dyDescent="0.35">
      <c r="A2246" t="s">
        <v>36</v>
      </c>
      <c r="B2246" t="s">
        <v>94</v>
      </c>
      <c r="C2246" t="s">
        <v>59</v>
      </c>
      <c r="D2246">
        <v>2024</v>
      </c>
      <c r="E2246" t="s">
        <v>62</v>
      </c>
      <c r="F2246">
        <v>0</v>
      </c>
      <c r="G2246" t="s">
        <v>145</v>
      </c>
    </row>
    <row r="2247" spans="1:7" hidden="1" x14ac:dyDescent="0.35">
      <c r="A2247" t="s">
        <v>36</v>
      </c>
      <c r="B2247" t="s">
        <v>94</v>
      </c>
      <c r="C2247" t="s">
        <v>59</v>
      </c>
      <c r="D2247">
        <v>2024</v>
      </c>
      <c r="E2247" t="s">
        <v>98</v>
      </c>
      <c r="F2247">
        <v>0</v>
      </c>
      <c r="G2247" t="s">
        <v>145</v>
      </c>
    </row>
    <row r="2248" spans="1:7" hidden="1" x14ac:dyDescent="0.35">
      <c r="A2248" t="s">
        <v>36</v>
      </c>
      <c r="B2248" t="s">
        <v>94</v>
      </c>
      <c r="C2248" t="s">
        <v>59</v>
      </c>
      <c r="D2248">
        <v>2025</v>
      </c>
      <c r="E2248" t="s">
        <v>62</v>
      </c>
      <c r="F2248">
        <v>0</v>
      </c>
      <c r="G2248" t="s">
        <v>145</v>
      </c>
    </row>
    <row r="2249" spans="1:7" hidden="1" x14ac:dyDescent="0.35">
      <c r="A2249" t="s">
        <v>36</v>
      </c>
      <c r="B2249" t="s">
        <v>94</v>
      </c>
      <c r="C2249" t="s">
        <v>59</v>
      </c>
      <c r="D2249">
        <v>2025</v>
      </c>
      <c r="E2249" t="s">
        <v>98</v>
      </c>
      <c r="F2249">
        <v>0</v>
      </c>
      <c r="G2249" t="s">
        <v>145</v>
      </c>
    </row>
    <row r="2250" spans="1:7" hidden="1" x14ac:dyDescent="0.35">
      <c r="A2250" t="s">
        <v>37</v>
      </c>
      <c r="B2250" t="s">
        <v>95</v>
      </c>
      <c r="C2250" t="s">
        <v>57</v>
      </c>
      <c r="D2250">
        <v>2024</v>
      </c>
      <c r="E2250" t="s">
        <v>62</v>
      </c>
      <c r="F2250">
        <v>366</v>
      </c>
      <c r="G2250" t="s">
        <v>145</v>
      </c>
    </row>
    <row r="2251" spans="1:7" hidden="1" x14ac:dyDescent="0.35">
      <c r="A2251" t="s">
        <v>37</v>
      </c>
      <c r="B2251" t="s">
        <v>95</v>
      </c>
      <c r="C2251" t="s">
        <v>57</v>
      </c>
      <c r="D2251">
        <v>2024</v>
      </c>
      <c r="E2251" t="s">
        <v>98</v>
      </c>
      <c r="F2251">
        <v>469</v>
      </c>
      <c r="G2251" t="s">
        <v>145</v>
      </c>
    </row>
    <row r="2252" spans="1:7" hidden="1" x14ac:dyDescent="0.35">
      <c r="A2252" t="s">
        <v>37</v>
      </c>
      <c r="B2252" t="s">
        <v>95</v>
      </c>
      <c r="C2252" t="s">
        <v>57</v>
      </c>
      <c r="D2252">
        <v>2025</v>
      </c>
      <c r="E2252" t="s">
        <v>62</v>
      </c>
      <c r="F2252">
        <v>527</v>
      </c>
      <c r="G2252" t="s">
        <v>145</v>
      </c>
    </row>
    <row r="2253" spans="1:7" hidden="1" x14ac:dyDescent="0.35">
      <c r="A2253" t="s">
        <v>37</v>
      </c>
      <c r="B2253" t="s">
        <v>95</v>
      </c>
      <c r="C2253" t="s">
        <v>57</v>
      </c>
      <c r="D2253">
        <v>2025</v>
      </c>
      <c r="E2253" t="s">
        <v>98</v>
      </c>
      <c r="F2253">
        <v>558</v>
      </c>
      <c r="G2253" t="s">
        <v>145</v>
      </c>
    </row>
    <row r="2254" spans="1:7" hidden="1" x14ac:dyDescent="0.35">
      <c r="A2254" t="s">
        <v>37</v>
      </c>
      <c r="B2254" t="s">
        <v>95</v>
      </c>
      <c r="C2254" t="s">
        <v>58</v>
      </c>
      <c r="D2254">
        <v>2024</v>
      </c>
      <c r="E2254" t="s">
        <v>62</v>
      </c>
      <c r="F2254">
        <v>0</v>
      </c>
      <c r="G2254" t="s">
        <v>145</v>
      </c>
    </row>
    <row r="2255" spans="1:7" hidden="1" x14ac:dyDescent="0.35">
      <c r="A2255" t="s">
        <v>37</v>
      </c>
      <c r="B2255" t="s">
        <v>95</v>
      </c>
      <c r="C2255" t="s">
        <v>58</v>
      </c>
      <c r="D2255">
        <v>2024</v>
      </c>
      <c r="E2255" t="s">
        <v>98</v>
      </c>
      <c r="F2255">
        <v>3</v>
      </c>
      <c r="G2255" t="s">
        <v>145</v>
      </c>
    </row>
    <row r="2256" spans="1:7" hidden="1" x14ac:dyDescent="0.35">
      <c r="A2256" t="s">
        <v>37</v>
      </c>
      <c r="B2256" t="s">
        <v>95</v>
      </c>
      <c r="C2256" t="s">
        <v>58</v>
      </c>
      <c r="D2256">
        <v>2025</v>
      </c>
      <c r="E2256" t="s">
        <v>62</v>
      </c>
      <c r="F2256">
        <v>4</v>
      </c>
      <c r="G2256" t="s">
        <v>145</v>
      </c>
    </row>
    <row r="2257" spans="1:7" hidden="1" x14ac:dyDescent="0.35">
      <c r="A2257" t="s">
        <v>37</v>
      </c>
      <c r="B2257" t="s">
        <v>95</v>
      </c>
      <c r="C2257" t="s">
        <v>58</v>
      </c>
      <c r="D2257">
        <v>2025</v>
      </c>
      <c r="E2257" t="s">
        <v>98</v>
      </c>
      <c r="F2257">
        <v>27</v>
      </c>
      <c r="G2257" t="s">
        <v>145</v>
      </c>
    </row>
    <row r="2258" spans="1:7" hidden="1" x14ac:dyDescent="0.35">
      <c r="A2258" t="s">
        <v>37</v>
      </c>
      <c r="B2258" t="s">
        <v>95</v>
      </c>
      <c r="C2258" t="s">
        <v>59</v>
      </c>
      <c r="D2258">
        <v>2024</v>
      </c>
      <c r="E2258" t="s">
        <v>62</v>
      </c>
      <c r="F2258">
        <v>998</v>
      </c>
      <c r="G2258" t="s">
        <v>145</v>
      </c>
    </row>
    <row r="2259" spans="1:7" hidden="1" x14ac:dyDescent="0.35">
      <c r="A2259" t="s">
        <v>37</v>
      </c>
      <c r="B2259" t="s">
        <v>95</v>
      </c>
      <c r="C2259" t="s">
        <v>59</v>
      </c>
      <c r="D2259">
        <v>2024</v>
      </c>
      <c r="E2259" t="s">
        <v>98</v>
      </c>
      <c r="F2259">
        <v>653</v>
      </c>
      <c r="G2259" t="s">
        <v>145</v>
      </c>
    </row>
    <row r="2260" spans="1:7" hidden="1" x14ac:dyDescent="0.35">
      <c r="A2260" t="s">
        <v>37</v>
      </c>
      <c r="B2260" t="s">
        <v>95</v>
      </c>
      <c r="C2260" t="s">
        <v>59</v>
      </c>
      <c r="D2260">
        <v>2025</v>
      </c>
      <c r="E2260" t="s">
        <v>62</v>
      </c>
      <c r="F2260">
        <v>575</v>
      </c>
      <c r="G2260" t="s">
        <v>145</v>
      </c>
    </row>
    <row r="2261" spans="1:7" hidden="1" x14ac:dyDescent="0.35">
      <c r="A2261" t="s">
        <v>37</v>
      </c>
      <c r="B2261" t="s">
        <v>95</v>
      </c>
      <c r="C2261" t="s">
        <v>59</v>
      </c>
      <c r="D2261">
        <v>2025</v>
      </c>
      <c r="E2261" t="s">
        <v>98</v>
      </c>
      <c r="F2261">
        <v>1059</v>
      </c>
      <c r="G2261" t="s">
        <v>145</v>
      </c>
    </row>
    <row r="2262" spans="1:7" hidden="1" x14ac:dyDescent="0.35">
      <c r="A2262" t="s">
        <v>38</v>
      </c>
      <c r="B2262" t="s">
        <v>96</v>
      </c>
      <c r="C2262" t="s">
        <v>57</v>
      </c>
      <c r="D2262">
        <v>2022</v>
      </c>
      <c r="E2262" t="s">
        <v>62</v>
      </c>
      <c r="F2262">
        <v>1162</v>
      </c>
      <c r="G2262" t="s">
        <v>145</v>
      </c>
    </row>
    <row r="2263" spans="1:7" hidden="1" x14ac:dyDescent="0.35">
      <c r="A2263" t="s">
        <v>38</v>
      </c>
      <c r="B2263" t="s">
        <v>96</v>
      </c>
      <c r="C2263" t="s">
        <v>57</v>
      </c>
      <c r="D2263">
        <v>2022</v>
      </c>
      <c r="E2263" t="s">
        <v>98</v>
      </c>
      <c r="F2263">
        <v>1110</v>
      </c>
      <c r="G2263" t="s">
        <v>145</v>
      </c>
    </row>
    <row r="2264" spans="1:7" hidden="1" x14ac:dyDescent="0.35">
      <c r="A2264" t="s">
        <v>38</v>
      </c>
      <c r="B2264" t="s">
        <v>96</v>
      </c>
      <c r="C2264" t="s">
        <v>57</v>
      </c>
      <c r="D2264">
        <v>2023</v>
      </c>
      <c r="E2264" t="s">
        <v>62</v>
      </c>
      <c r="F2264">
        <v>1209</v>
      </c>
      <c r="G2264" t="s">
        <v>145</v>
      </c>
    </row>
    <row r="2265" spans="1:7" hidden="1" x14ac:dyDescent="0.35">
      <c r="A2265" t="s">
        <v>38</v>
      </c>
      <c r="B2265" t="s">
        <v>96</v>
      </c>
      <c r="C2265" t="s">
        <v>57</v>
      </c>
      <c r="D2265">
        <v>2023</v>
      </c>
      <c r="E2265" t="s">
        <v>98</v>
      </c>
      <c r="F2265">
        <v>1246</v>
      </c>
      <c r="G2265" t="s">
        <v>145</v>
      </c>
    </row>
    <row r="2266" spans="1:7" hidden="1" x14ac:dyDescent="0.35">
      <c r="A2266" t="s">
        <v>38</v>
      </c>
      <c r="B2266" t="s">
        <v>96</v>
      </c>
      <c r="C2266" t="s">
        <v>57</v>
      </c>
      <c r="D2266">
        <v>2024</v>
      </c>
      <c r="E2266" t="s">
        <v>62</v>
      </c>
      <c r="F2266">
        <v>1328</v>
      </c>
      <c r="G2266" t="s">
        <v>145</v>
      </c>
    </row>
    <row r="2267" spans="1:7" hidden="1" x14ac:dyDescent="0.35">
      <c r="A2267" t="s">
        <v>38</v>
      </c>
      <c r="B2267" t="s">
        <v>96</v>
      </c>
      <c r="C2267" t="s">
        <v>57</v>
      </c>
      <c r="D2267">
        <v>2024</v>
      </c>
      <c r="E2267" t="s">
        <v>98</v>
      </c>
      <c r="F2267">
        <v>2816</v>
      </c>
      <c r="G2267" t="s">
        <v>145</v>
      </c>
    </row>
    <row r="2268" spans="1:7" hidden="1" x14ac:dyDescent="0.35">
      <c r="A2268" t="s">
        <v>38</v>
      </c>
      <c r="B2268" t="s">
        <v>96</v>
      </c>
      <c r="C2268" t="s">
        <v>57</v>
      </c>
      <c r="D2268">
        <v>2025</v>
      </c>
      <c r="E2268" t="s">
        <v>62</v>
      </c>
      <c r="F2268">
        <v>1549</v>
      </c>
      <c r="G2268" t="s">
        <v>145</v>
      </c>
    </row>
    <row r="2269" spans="1:7" hidden="1" x14ac:dyDescent="0.35">
      <c r="A2269" t="s">
        <v>38</v>
      </c>
      <c r="B2269" t="s">
        <v>96</v>
      </c>
      <c r="C2269" t="s">
        <v>57</v>
      </c>
      <c r="D2269">
        <v>2025</v>
      </c>
      <c r="E2269" t="s">
        <v>98</v>
      </c>
      <c r="F2269">
        <v>4100</v>
      </c>
      <c r="G2269" t="s">
        <v>145</v>
      </c>
    </row>
    <row r="2270" spans="1:7" hidden="1" x14ac:dyDescent="0.35">
      <c r="A2270" t="s">
        <v>38</v>
      </c>
      <c r="B2270" t="s">
        <v>96</v>
      </c>
      <c r="C2270" t="s">
        <v>58</v>
      </c>
      <c r="D2270">
        <v>2022</v>
      </c>
      <c r="E2270" t="s">
        <v>62</v>
      </c>
      <c r="F2270">
        <v>17</v>
      </c>
      <c r="G2270" t="s">
        <v>145</v>
      </c>
    </row>
    <row r="2271" spans="1:7" hidden="1" x14ac:dyDescent="0.35">
      <c r="A2271" t="s">
        <v>38</v>
      </c>
      <c r="B2271" t="s">
        <v>96</v>
      </c>
      <c r="C2271" t="s">
        <v>58</v>
      </c>
      <c r="D2271">
        <v>2022</v>
      </c>
      <c r="E2271" t="s">
        <v>98</v>
      </c>
      <c r="F2271">
        <v>38</v>
      </c>
      <c r="G2271" t="s">
        <v>145</v>
      </c>
    </row>
    <row r="2272" spans="1:7" hidden="1" x14ac:dyDescent="0.35">
      <c r="A2272" t="s">
        <v>38</v>
      </c>
      <c r="B2272" t="s">
        <v>96</v>
      </c>
      <c r="C2272" t="s">
        <v>58</v>
      </c>
      <c r="D2272">
        <v>2023</v>
      </c>
      <c r="E2272" t="s">
        <v>62</v>
      </c>
      <c r="F2272">
        <v>22</v>
      </c>
      <c r="G2272" t="s">
        <v>145</v>
      </c>
    </row>
    <row r="2273" spans="1:7" hidden="1" x14ac:dyDescent="0.35">
      <c r="A2273" t="s">
        <v>38</v>
      </c>
      <c r="B2273" t="s">
        <v>96</v>
      </c>
      <c r="C2273" t="s">
        <v>58</v>
      </c>
      <c r="D2273">
        <v>2023</v>
      </c>
      <c r="E2273" t="s">
        <v>98</v>
      </c>
      <c r="F2273">
        <v>78</v>
      </c>
      <c r="G2273" t="s">
        <v>145</v>
      </c>
    </row>
    <row r="2274" spans="1:7" hidden="1" x14ac:dyDescent="0.35">
      <c r="A2274" t="s">
        <v>38</v>
      </c>
      <c r="B2274" t="s">
        <v>96</v>
      </c>
      <c r="C2274" t="s">
        <v>58</v>
      </c>
      <c r="D2274">
        <v>2024</v>
      </c>
      <c r="E2274" t="s">
        <v>62</v>
      </c>
      <c r="F2274">
        <v>23</v>
      </c>
      <c r="G2274" t="s">
        <v>145</v>
      </c>
    </row>
    <row r="2275" spans="1:7" hidden="1" x14ac:dyDescent="0.35">
      <c r="A2275" t="s">
        <v>38</v>
      </c>
      <c r="B2275" t="s">
        <v>96</v>
      </c>
      <c r="C2275" t="s">
        <v>58</v>
      </c>
      <c r="D2275">
        <v>2024</v>
      </c>
      <c r="E2275" t="s">
        <v>98</v>
      </c>
      <c r="F2275">
        <v>51</v>
      </c>
      <c r="G2275" t="s">
        <v>145</v>
      </c>
    </row>
    <row r="2276" spans="1:7" hidden="1" x14ac:dyDescent="0.35">
      <c r="A2276" t="s">
        <v>38</v>
      </c>
      <c r="B2276" t="s">
        <v>96</v>
      </c>
      <c r="C2276" t="s">
        <v>58</v>
      </c>
      <c r="D2276">
        <v>2025</v>
      </c>
      <c r="E2276" t="s">
        <v>62</v>
      </c>
      <c r="F2276">
        <v>28</v>
      </c>
      <c r="G2276" t="s">
        <v>145</v>
      </c>
    </row>
    <row r="2277" spans="1:7" hidden="1" x14ac:dyDescent="0.35">
      <c r="A2277" t="s">
        <v>38</v>
      </c>
      <c r="B2277" t="s">
        <v>96</v>
      </c>
      <c r="C2277" t="s">
        <v>58</v>
      </c>
      <c r="D2277">
        <v>2025</v>
      </c>
      <c r="E2277" t="s">
        <v>98</v>
      </c>
      <c r="F2277">
        <v>304</v>
      </c>
      <c r="G2277" t="s">
        <v>145</v>
      </c>
    </row>
    <row r="2278" spans="1:7" hidden="1" x14ac:dyDescent="0.35">
      <c r="A2278" t="s">
        <v>38</v>
      </c>
      <c r="B2278" t="s">
        <v>96</v>
      </c>
      <c r="C2278" t="s">
        <v>59</v>
      </c>
      <c r="D2278">
        <v>2022</v>
      </c>
      <c r="E2278" t="s">
        <v>62</v>
      </c>
      <c r="F2278">
        <v>2397</v>
      </c>
      <c r="G2278" t="s">
        <v>145</v>
      </c>
    </row>
    <row r="2279" spans="1:7" hidden="1" x14ac:dyDescent="0.35">
      <c r="A2279" t="s">
        <v>38</v>
      </c>
      <c r="B2279" t="s">
        <v>96</v>
      </c>
      <c r="C2279" t="s">
        <v>59</v>
      </c>
      <c r="D2279">
        <v>2022</v>
      </c>
      <c r="E2279" t="s">
        <v>98</v>
      </c>
      <c r="F2279">
        <v>2327</v>
      </c>
      <c r="G2279" t="s">
        <v>145</v>
      </c>
    </row>
    <row r="2280" spans="1:7" hidden="1" x14ac:dyDescent="0.35">
      <c r="A2280" t="s">
        <v>38</v>
      </c>
      <c r="B2280" t="s">
        <v>96</v>
      </c>
      <c r="C2280" t="s">
        <v>59</v>
      </c>
      <c r="D2280">
        <v>2023</v>
      </c>
      <c r="E2280" t="s">
        <v>62</v>
      </c>
      <c r="F2280">
        <v>1729</v>
      </c>
      <c r="G2280" t="s">
        <v>145</v>
      </c>
    </row>
    <row r="2281" spans="1:7" hidden="1" x14ac:dyDescent="0.35">
      <c r="A2281" t="s">
        <v>38</v>
      </c>
      <c r="B2281" t="s">
        <v>96</v>
      </c>
      <c r="C2281" t="s">
        <v>59</v>
      </c>
      <c r="D2281">
        <v>2023</v>
      </c>
      <c r="E2281" t="s">
        <v>98</v>
      </c>
      <c r="F2281">
        <v>1733</v>
      </c>
      <c r="G2281" t="s">
        <v>145</v>
      </c>
    </row>
    <row r="2282" spans="1:7" hidden="1" x14ac:dyDescent="0.35">
      <c r="A2282" t="s">
        <v>38</v>
      </c>
      <c r="B2282" t="s">
        <v>96</v>
      </c>
      <c r="C2282" t="s">
        <v>59</v>
      </c>
      <c r="D2282">
        <v>2024</v>
      </c>
      <c r="E2282" t="s">
        <v>62</v>
      </c>
      <c r="F2282">
        <v>1781</v>
      </c>
      <c r="G2282" t="s">
        <v>145</v>
      </c>
    </row>
    <row r="2283" spans="1:7" hidden="1" x14ac:dyDescent="0.35">
      <c r="A2283" t="s">
        <v>38</v>
      </c>
      <c r="B2283" t="s">
        <v>96</v>
      </c>
      <c r="C2283" t="s">
        <v>59</v>
      </c>
      <c r="D2283">
        <v>2024</v>
      </c>
      <c r="E2283" t="s">
        <v>98</v>
      </c>
      <c r="F2283">
        <v>1710</v>
      </c>
      <c r="G2283" t="s">
        <v>145</v>
      </c>
    </row>
    <row r="2284" spans="1:7" hidden="1" x14ac:dyDescent="0.35">
      <c r="A2284" t="s">
        <v>38</v>
      </c>
      <c r="B2284" t="s">
        <v>96</v>
      </c>
      <c r="C2284" t="s">
        <v>59</v>
      </c>
      <c r="D2284">
        <v>2025</v>
      </c>
      <c r="E2284" t="s">
        <v>62</v>
      </c>
      <c r="F2284">
        <v>1635</v>
      </c>
      <c r="G2284" t="s">
        <v>145</v>
      </c>
    </row>
    <row r="2285" spans="1:7" hidden="1" x14ac:dyDescent="0.35">
      <c r="A2285" t="s">
        <v>38</v>
      </c>
      <c r="B2285" t="s">
        <v>96</v>
      </c>
      <c r="C2285" t="s">
        <v>59</v>
      </c>
      <c r="D2285">
        <v>2025</v>
      </c>
      <c r="E2285" t="s">
        <v>98</v>
      </c>
      <c r="F2285">
        <v>1775</v>
      </c>
      <c r="G2285" t="s">
        <v>145</v>
      </c>
    </row>
    <row r="2286" spans="1:7" hidden="1" x14ac:dyDescent="0.35">
      <c r="A2286" t="s">
        <v>39</v>
      </c>
      <c r="B2286" t="s">
        <v>97</v>
      </c>
      <c r="C2286" t="s">
        <v>57</v>
      </c>
      <c r="D2286">
        <v>2022</v>
      </c>
      <c r="E2286" t="s">
        <v>62</v>
      </c>
      <c r="F2286">
        <v>230</v>
      </c>
      <c r="G2286" t="s">
        <v>145</v>
      </c>
    </row>
    <row r="2287" spans="1:7" hidden="1" x14ac:dyDescent="0.35">
      <c r="A2287" t="s">
        <v>39</v>
      </c>
      <c r="B2287" t="s">
        <v>97</v>
      </c>
      <c r="C2287" t="s">
        <v>57</v>
      </c>
      <c r="D2287">
        <v>2022</v>
      </c>
      <c r="E2287" t="s">
        <v>98</v>
      </c>
      <c r="F2287">
        <v>256</v>
      </c>
      <c r="G2287" t="s">
        <v>145</v>
      </c>
    </row>
    <row r="2288" spans="1:7" hidden="1" x14ac:dyDescent="0.35">
      <c r="A2288" t="s">
        <v>39</v>
      </c>
      <c r="B2288" t="s">
        <v>97</v>
      </c>
      <c r="C2288" t="s">
        <v>57</v>
      </c>
      <c r="D2288">
        <v>2023</v>
      </c>
      <c r="E2288" t="s">
        <v>62</v>
      </c>
      <c r="F2288">
        <v>295</v>
      </c>
      <c r="G2288" t="s">
        <v>145</v>
      </c>
    </row>
    <row r="2289" spans="1:7" hidden="1" x14ac:dyDescent="0.35">
      <c r="A2289" t="s">
        <v>39</v>
      </c>
      <c r="B2289" t="s">
        <v>97</v>
      </c>
      <c r="C2289" t="s">
        <v>57</v>
      </c>
      <c r="D2289">
        <v>2023</v>
      </c>
      <c r="E2289" t="s">
        <v>98</v>
      </c>
      <c r="F2289">
        <v>288</v>
      </c>
      <c r="G2289" t="s">
        <v>145</v>
      </c>
    </row>
    <row r="2290" spans="1:7" hidden="1" x14ac:dyDescent="0.35">
      <c r="A2290" t="s">
        <v>39</v>
      </c>
      <c r="B2290" t="s">
        <v>97</v>
      </c>
      <c r="C2290" t="s">
        <v>57</v>
      </c>
      <c r="D2290">
        <v>2024</v>
      </c>
      <c r="E2290" t="s">
        <v>62</v>
      </c>
      <c r="F2290">
        <v>298</v>
      </c>
      <c r="G2290" t="s">
        <v>145</v>
      </c>
    </row>
    <row r="2291" spans="1:7" hidden="1" x14ac:dyDescent="0.35">
      <c r="A2291" t="s">
        <v>39</v>
      </c>
      <c r="B2291" t="s">
        <v>97</v>
      </c>
      <c r="C2291" t="s">
        <v>57</v>
      </c>
      <c r="D2291">
        <v>2024</v>
      </c>
      <c r="E2291" t="s">
        <v>98</v>
      </c>
      <c r="F2291">
        <v>308</v>
      </c>
      <c r="G2291" t="s">
        <v>145</v>
      </c>
    </row>
    <row r="2292" spans="1:7" hidden="1" x14ac:dyDescent="0.35">
      <c r="A2292" t="s">
        <v>39</v>
      </c>
      <c r="B2292" t="s">
        <v>97</v>
      </c>
      <c r="C2292" t="s">
        <v>57</v>
      </c>
      <c r="D2292">
        <v>2025</v>
      </c>
      <c r="E2292" t="s">
        <v>62</v>
      </c>
      <c r="F2292">
        <v>308</v>
      </c>
      <c r="G2292" t="s">
        <v>145</v>
      </c>
    </row>
    <row r="2293" spans="1:7" hidden="1" x14ac:dyDescent="0.35">
      <c r="A2293" t="s">
        <v>39</v>
      </c>
      <c r="B2293" t="s">
        <v>97</v>
      </c>
      <c r="C2293" t="s">
        <v>57</v>
      </c>
      <c r="D2293">
        <v>2025</v>
      </c>
      <c r="E2293" t="s">
        <v>98</v>
      </c>
      <c r="F2293">
        <v>2319</v>
      </c>
      <c r="G2293" t="s">
        <v>145</v>
      </c>
    </row>
    <row r="2294" spans="1:7" hidden="1" x14ac:dyDescent="0.35">
      <c r="A2294" t="s">
        <v>39</v>
      </c>
      <c r="B2294" t="s">
        <v>97</v>
      </c>
      <c r="C2294" t="s">
        <v>58</v>
      </c>
      <c r="D2294">
        <v>2022</v>
      </c>
      <c r="E2294" t="s">
        <v>62</v>
      </c>
      <c r="F2294">
        <v>381</v>
      </c>
      <c r="G2294" t="s">
        <v>145</v>
      </c>
    </row>
    <row r="2295" spans="1:7" hidden="1" x14ac:dyDescent="0.35">
      <c r="A2295" t="s">
        <v>39</v>
      </c>
      <c r="B2295" t="s">
        <v>97</v>
      </c>
      <c r="C2295" t="s">
        <v>58</v>
      </c>
      <c r="D2295">
        <v>2022</v>
      </c>
      <c r="E2295" t="s">
        <v>98</v>
      </c>
      <c r="F2295">
        <v>365</v>
      </c>
      <c r="G2295" t="s">
        <v>145</v>
      </c>
    </row>
    <row r="2296" spans="1:7" hidden="1" x14ac:dyDescent="0.35">
      <c r="A2296" t="s">
        <v>39</v>
      </c>
      <c r="B2296" t="s">
        <v>97</v>
      </c>
      <c r="C2296" t="s">
        <v>58</v>
      </c>
      <c r="D2296">
        <v>2023</v>
      </c>
      <c r="E2296" t="s">
        <v>62</v>
      </c>
      <c r="F2296">
        <v>238</v>
      </c>
      <c r="G2296" t="s">
        <v>145</v>
      </c>
    </row>
    <row r="2297" spans="1:7" hidden="1" x14ac:dyDescent="0.35">
      <c r="A2297" t="s">
        <v>39</v>
      </c>
      <c r="B2297" t="s">
        <v>97</v>
      </c>
      <c r="C2297" t="s">
        <v>58</v>
      </c>
      <c r="D2297">
        <v>2023</v>
      </c>
      <c r="E2297" t="s">
        <v>98</v>
      </c>
      <c r="F2297">
        <v>236</v>
      </c>
      <c r="G2297" t="s">
        <v>145</v>
      </c>
    </row>
    <row r="2298" spans="1:7" hidden="1" x14ac:dyDescent="0.35">
      <c r="A2298" t="s">
        <v>39</v>
      </c>
      <c r="B2298" t="s">
        <v>97</v>
      </c>
      <c r="C2298" t="s">
        <v>58</v>
      </c>
      <c r="D2298">
        <v>2024</v>
      </c>
      <c r="E2298" t="s">
        <v>62</v>
      </c>
      <c r="F2298">
        <v>222</v>
      </c>
      <c r="G2298" t="s">
        <v>145</v>
      </c>
    </row>
    <row r="2299" spans="1:7" hidden="1" x14ac:dyDescent="0.35">
      <c r="A2299" t="s">
        <v>39</v>
      </c>
      <c r="B2299" t="s">
        <v>97</v>
      </c>
      <c r="C2299" t="s">
        <v>58</v>
      </c>
      <c r="D2299">
        <v>2024</v>
      </c>
      <c r="E2299" t="s">
        <v>98</v>
      </c>
      <c r="F2299">
        <v>235</v>
      </c>
      <c r="G2299" t="s">
        <v>145</v>
      </c>
    </row>
    <row r="2300" spans="1:7" hidden="1" x14ac:dyDescent="0.35">
      <c r="A2300" t="s">
        <v>39</v>
      </c>
      <c r="B2300" t="s">
        <v>97</v>
      </c>
      <c r="C2300" t="s">
        <v>58</v>
      </c>
      <c r="D2300">
        <v>2025</v>
      </c>
      <c r="E2300" t="s">
        <v>62</v>
      </c>
      <c r="F2300">
        <v>142</v>
      </c>
      <c r="G2300" t="s">
        <v>145</v>
      </c>
    </row>
    <row r="2301" spans="1:7" hidden="1" x14ac:dyDescent="0.35">
      <c r="A2301" t="s">
        <v>39</v>
      </c>
      <c r="B2301" t="s">
        <v>97</v>
      </c>
      <c r="C2301" t="s">
        <v>58</v>
      </c>
      <c r="D2301">
        <v>2025</v>
      </c>
      <c r="E2301" t="s">
        <v>98</v>
      </c>
      <c r="F2301">
        <v>1130</v>
      </c>
      <c r="G2301" t="s">
        <v>145</v>
      </c>
    </row>
    <row r="2302" spans="1:7" hidden="1" x14ac:dyDescent="0.35">
      <c r="A2302" t="s">
        <v>39</v>
      </c>
      <c r="B2302" t="s">
        <v>97</v>
      </c>
      <c r="C2302" t="s">
        <v>59</v>
      </c>
      <c r="D2302">
        <v>2022</v>
      </c>
      <c r="E2302" t="s">
        <v>62</v>
      </c>
      <c r="F2302">
        <v>0</v>
      </c>
      <c r="G2302" t="s">
        <v>145</v>
      </c>
    </row>
    <row r="2303" spans="1:7" hidden="1" x14ac:dyDescent="0.35">
      <c r="A2303" t="s">
        <v>39</v>
      </c>
      <c r="B2303" t="s">
        <v>97</v>
      </c>
      <c r="C2303" t="s">
        <v>59</v>
      </c>
      <c r="D2303">
        <v>2022</v>
      </c>
      <c r="E2303" t="s">
        <v>98</v>
      </c>
      <c r="F2303">
        <v>0</v>
      </c>
      <c r="G2303" t="s">
        <v>145</v>
      </c>
    </row>
    <row r="2304" spans="1:7" hidden="1" x14ac:dyDescent="0.35">
      <c r="A2304" t="s">
        <v>39</v>
      </c>
      <c r="B2304" t="s">
        <v>97</v>
      </c>
      <c r="C2304" t="s">
        <v>59</v>
      </c>
      <c r="D2304">
        <v>2023</v>
      </c>
      <c r="E2304" t="s">
        <v>62</v>
      </c>
      <c r="F2304">
        <v>872</v>
      </c>
      <c r="G2304" t="s">
        <v>145</v>
      </c>
    </row>
    <row r="2305" spans="1:7" hidden="1" x14ac:dyDescent="0.35">
      <c r="A2305" t="s">
        <v>39</v>
      </c>
      <c r="B2305" t="s">
        <v>97</v>
      </c>
      <c r="C2305" t="s">
        <v>59</v>
      </c>
      <c r="D2305">
        <v>2023</v>
      </c>
      <c r="E2305" t="s">
        <v>98</v>
      </c>
      <c r="F2305">
        <v>1150</v>
      </c>
      <c r="G2305" t="s">
        <v>145</v>
      </c>
    </row>
    <row r="2306" spans="1:7" hidden="1" x14ac:dyDescent="0.35">
      <c r="A2306" t="s">
        <v>39</v>
      </c>
      <c r="B2306" t="s">
        <v>97</v>
      </c>
      <c r="C2306" t="s">
        <v>59</v>
      </c>
      <c r="D2306">
        <v>2024</v>
      </c>
      <c r="E2306" t="s">
        <v>62</v>
      </c>
      <c r="F2306">
        <v>1818</v>
      </c>
      <c r="G2306" t="s">
        <v>145</v>
      </c>
    </row>
    <row r="2307" spans="1:7" hidden="1" x14ac:dyDescent="0.35">
      <c r="A2307" t="s">
        <v>39</v>
      </c>
      <c r="B2307" t="s">
        <v>97</v>
      </c>
      <c r="C2307" t="s">
        <v>59</v>
      </c>
      <c r="D2307">
        <v>2024</v>
      </c>
      <c r="E2307" t="s">
        <v>98</v>
      </c>
      <c r="F2307">
        <v>1872</v>
      </c>
      <c r="G2307" t="s">
        <v>145</v>
      </c>
    </row>
    <row r="2308" spans="1:7" hidden="1" x14ac:dyDescent="0.35">
      <c r="A2308" t="s">
        <v>39</v>
      </c>
      <c r="B2308" t="s">
        <v>97</v>
      </c>
      <c r="C2308" t="s">
        <v>59</v>
      </c>
      <c r="D2308">
        <v>2025</v>
      </c>
      <c r="E2308" t="s">
        <v>62</v>
      </c>
      <c r="F2308">
        <v>2827</v>
      </c>
      <c r="G2308" t="s">
        <v>145</v>
      </c>
    </row>
    <row r="2309" spans="1:7" hidden="1" x14ac:dyDescent="0.35">
      <c r="A2309" t="s">
        <v>39</v>
      </c>
      <c r="B2309" t="s">
        <v>97</v>
      </c>
      <c r="C2309" t="s">
        <v>59</v>
      </c>
      <c r="D2309">
        <v>2025</v>
      </c>
      <c r="E2309" t="s">
        <v>98</v>
      </c>
      <c r="F2309">
        <v>4246</v>
      </c>
      <c r="G2309" t="s">
        <v>145</v>
      </c>
    </row>
    <row r="2310" spans="1:7" hidden="1" x14ac:dyDescent="0.35">
      <c r="A2310" t="s">
        <v>1</v>
      </c>
      <c r="B2310" t="s">
        <v>64</v>
      </c>
      <c r="C2310" t="s">
        <v>57</v>
      </c>
      <c r="D2310">
        <v>2022</v>
      </c>
      <c r="E2310" t="s">
        <v>146</v>
      </c>
      <c r="F2310">
        <v>5403</v>
      </c>
      <c r="G2310" t="s">
        <v>146</v>
      </c>
    </row>
    <row r="2311" spans="1:7" hidden="1" x14ac:dyDescent="0.35">
      <c r="A2311" t="s">
        <v>1</v>
      </c>
      <c r="B2311" t="s">
        <v>64</v>
      </c>
      <c r="C2311" t="s">
        <v>57</v>
      </c>
      <c r="D2311">
        <v>2023</v>
      </c>
      <c r="E2311" t="s">
        <v>146</v>
      </c>
      <c r="F2311">
        <v>5112</v>
      </c>
      <c r="G2311" t="s">
        <v>146</v>
      </c>
    </row>
    <row r="2312" spans="1:7" hidden="1" x14ac:dyDescent="0.35">
      <c r="A2312" t="s">
        <v>1</v>
      </c>
      <c r="B2312" t="s">
        <v>64</v>
      </c>
      <c r="C2312" t="s">
        <v>57</v>
      </c>
      <c r="D2312">
        <v>2024</v>
      </c>
      <c r="E2312" t="s">
        <v>146</v>
      </c>
      <c r="F2312">
        <v>5260</v>
      </c>
      <c r="G2312" t="s">
        <v>146</v>
      </c>
    </row>
    <row r="2313" spans="1:7" hidden="1" x14ac:dyDescent="0.35">
      <c r="A2313" t="s">
        <v>1</v>
      </c>
      <c r="B2313" t="s">
        <v>64</v>
      </c>
      <c r="C2313" t="s">
        <v>57</v>
      </c>
      <c r="D2313">
        <v>2025</v>
      </c>
      <c r="E2313" t="s">
        <v>146</v>
      </c>
      <c r="F2313">
        <v>6050</v>
      </c>
      <c r="G2313" t="s">
        <v>146</v>
      </c>
    </row>
    <row r="2314" spans="1:7" hidden="1" x14ac:dyDescent="0.35">
      <c r="A2314" t="s">
        <v>2</v>
      </c>
      <c r="B2314" t="s">
        <v>65</v>
      </c>
      <c r="C2314" t="s">
        <v>57</v>
      </c>
      <c r="D2314">
        <v>2022</v>
      </c>
      <c r="E2314" t="s">
        <v>146</v>
      </c>
      <c r="F2314">
        <v>11638</v>
      </c>
      <c r="G2314" t="s">
        <v>146</v>
      </c>
    </row>
    <row r="2315" spans="1:7" hidden="1" x14ac:dyDescent="0.35">
      <c r="A2315" t="s">
        <v>2</v>
      </c>
      <c r="B2315" t="s">
        <v>65</v>
      </c>
      <c r="C2315" t="s">
        <v>57</v>
      </c>
      <c r="D2315">
        <v>2023</v>
      </c>
      <c r="E2315" t="s">
        <v>146</v>
      </c>
      <c r="F2315">
        <v>12724</v>
      </c>
      <c r="G2315" t="s">
        <v>146</v>
      </c>
    </row>
    <row r="2316" spans="1:7" hidden="1" x14ac:dyDescent="0.35">
      <c r="A2316" t="s">
        <v>2</v>
      </c>
      <c r="B2316" t="s">
        <v>65</v>
      </c>
      <c r="C2316" t="s">
        <v>57</v>
      </c>
      <c r="D2316">
        <v>2024</v>
      </c>
      <c r="E2316" t="s">
        <v>146</v>
      </c>
      <c r="F2316">
        <v>13067</v>
      </c>
      <c r="G2316" t="s">
        <v>146</v>
      </c>
    </row>
    <row r="2317" spans="1:7" hidden="1" x14ac:dyDescent="0.35">
      <c r="A2317" t="s">
        <v>2</v>
      </c>
      <c r="B2317" t="s">
        <v>65</v>
      </c>
      <c r="C2317" t="s">
        <v>57</v>
      </c>
      <c r="D2317">
        <v>2025</v>
      </c>
      <c r="E2317" t="s">
        <v>146</v>
      </c>
      <c r="F2317">
        <v>15226</v>
      </c>
      <c r="G2317" t="s">
        <v>146</v>
      </c>
    </row>
    <row r="2318" spans="1:7" hidden="1" x14ac:dyDescent="0.35">
      <c r="A2318" t="s">
        <v>3</v>
      </c>
      <c r="B2318" t="s">
        <v>66</v>
      </c>
      <c r="C2318" t="s">
        <v>57</v>
      </c>
      <c r="D2318">
        <v>2022</v>
      </c>
      <c r="E2318" t="s">
        <v>146</v>
      </c>
      <c r="F2318">
        <v>26313</v>
      </c>
      <c r="G2318" t="s">
        <v>146</v>
      </c>
    </row>
    <row r="2319" spans="1:7" hidden="1" x14ac:dyDescent="0.35">
      <c r="A2319" t="s">
        <v>3</v>
      </c>
      <c r="B2319" t="s">
        <v>66</v>
      </c>
      <c r="C2319" t="s">
        <v>57</v>
      </c>
      <c r="D2319">
        <v>2023</v>
      </c>
      <c r="E2319" t="s">
        <v>146</v>
      </c>
      <c r="F2319">
        <v>29943</v>
      </c>
      <c r="G2319" t="s">
        <v>146</v>
      </c>
    </row>
    <row r="2320" spans="1:7" hidden="1" x14ac:dyDescent="0.35">
      <c r="A2320" t="s">
        <v>3</v>
      </c>
      <c r="B2320" t="s">
        <v>66</v>
      </c>
      <c r="C2320" t="s">
        <v>57</v>
      </c>
      <c r="D2320">
        <v>2024</v>
      </c>
      <c r="E2320" t="s">
        <v>146</v>
      </c>
      <c r="F2320">
        <v>34507</v>
      </c>
      <c r="G2320" t="s">
        <v>146</v>
      </c>
    </row>
    <row r="2321" spans="1:7" hidden="1" x14ac:dyDescent="0.35">
      <c r="A2321" t="s">
        <v>3</v>
      </c>
      <c r="B2321" t="s">
        <v>66</v>
      </c>
      <c r="C2321" t="s">
        <v>57</v>
      </c>
      <c r="D2321">
        <v>2025</v>
      </c>
      <c r="E2321" t="s">
        <v>146</v>
      </c>
      <c r="F2321">
        <v>34921</v>
      </c>
      <c r="G2321" t="s">
        <v>146</v>
      </c>
    </row>
    <row r="2322" spans="1:7" hidden="1" x14ac:dyDescent="0.35">
      <c r="A2322" t="s">
        <v>4</v>
      </c>
      <c r="B2322" t="s">
        <v>67</v>
      </c>
      <c r="C2322" t="s">
        <v>57</v>
      </c>
      <c r="D2322">
        <v>2022</v>
      </c>
      <c r="E2322" t="s">
        <v>146</v>
      </c>
      <c r="F2322">
        <v>15626</v>
      </c>
      <c r="G2322" t="s">
        <v>146</v>
      </c>
    </row>
    <row r="2323" spans="1:7" hidden="1" x14ac:dyDescent="0.35">
      <c r="A2323" t="s">
        <v>4</v>
      </c>
      <c r="B2323" t="s">
        <v>67</v>
      </c>
      <c r="C2323" t="s">
        <v>57</v>
      </c>
      <c r="D2323">
        <v>2023</v>
      </c>
      <c r="E2323" t="s">
        <v>146</v>
      </c>
      <c r="F2323">
        <v>16942</v>
      </c>
      <c r="G2323" t="s">
        <v>146</v>
      </c>
    </row>
    <row r="2324" spans="1:7" hidden="1" x14ac:dyDescent="0.35">
      <c r="A2324" t="s">
        <v>4</v>
      </c>
      <c r="B2324" t="s">
        <v>67</v>
      </c>
      <c r="C2324" t="s">
        <v>57</v>
      </c>
      <c r="D2324">
        <v>2024</v>
      </c>
      <c r="E2324" t="s">
        <v>146</v>
      </c>
      <c r="F2324">
        <v>18622</v>
      </c>
      <c r="G2324" t="s">
        <v>146</v>
      </c>
    </row>
    <row r="2325" spans="1:7" hidden="1" x14ac:dyDescent="0.35">
      <c r="A2325" t="s">
        <v>4</v>
      </c>
      <c r="B2325" t="s">
        <v>67</v>
      </c>
      <c r="C2325" t="s">
        <v>57</v>
      </c>
      <c r="D2325">
        <v>2025</v>
      </c>
      <c r="E2325" t="s">
        <v>146</v>
      </c>
      <c r="F2325">
        <v>20348</v>
      </c>
      <c r="G2325" t="s">
        <v>146</v>
      </c>
    </row>
    <row r="2326" spans="1:7" hidden="1" x14ac:dyDescent="0.35">
      <c r="A2326" t="s">
        <v>5</v>
      </c>
      <c r="B2326" t="s">
        <v>5</v>
      </c>
      <c r="C2326" t="s">
        <v>57</v>
      </c>
      <c r="D2326">
        <v>2022</v>
      </c>
      <c r="E2326" t="s">
        <v>146</v>
      </c>
      <c r="F2326">
        <v>20609</v>
      </c>
      <c r="G2326" t="s">
        <v>146</v>
      </c>
    </row>
    <row r="2327" spans="1:7" hidden="1" x14ac:dyDescent="0.35">
      <c r="A2327" t="s">
        <v>5</v>
      </c>
      <c r="B2327" t="s">
        <v>5</v>
      </c>
      <c r="C2327" t="s">
        <v>57</v>
      </c>
      <c r="D2327">
        <v>2023</v>
      </c>
      <c r="E2327" t="s">
        <v>146</v>
      </c>
      <c r="F2327">
        <v>22795</v>
      </c>
      <c r="G2327" t="s">
        <v>146</v>
      </c>
    </row>
    <row r="2328" spans="1:7" hidden="1" x14ac:dyDescent="0.35">
      <c r="A2328" t="s">
        <v>5</v>
      </c>
      <c r="B2328" t="s">
        <v>5</v>
      </c>
      <c r="C2328" t="s">
        <v>57</v>
      </c>
      <c r="D2328">
        <v>2024</v>
      </c>
      <c r="E2328" t="s">
        <v>146</v>
      </c>
      <c r="F2328">
        <v>25601</v>
      </c>
      <c r="G2328" t="s">
        <v>146</v>
      </c>
    </row>
    <row r="2329" spans="1:7" hidden="1" x14ac:dyDescent="0.35">
      <c r="A2329" t="s">
        <v>5</v>
      </c>
      <c r="B2329" t="s">
        <v>5</v>
      </c>
      <c r="C2329" t="s">
        <v>57</v>
      </c>
      <c r="D2329">
        <v>2025</v>
      </c>
      <c r="E2329" t="s">
        <v>146</v>
      </c>
      <c r="F2329">
        <v>27000</v>
      </c>
      <c r="G2329" t="s">
        <v>146</v>
      </c>
    </row>
    <row r="2330" spans="1:7" hidden="1" x14ac:dyDescent="0.35">
      <c r="A2330" t="s">
        <v>6</v>
      </c>
      <c r="B2330" t="s">
        <v>68</v>
      </c>
      <c r="C2330" t="s">
        <v>57</v>
      </c>
      <c r="D2330">
        <v>2022</v>
      </c>
      <c r="E2330" t="s">
        <v>146</v>
      </c>
      <c r="F2330">
        <v>3055</v>
      </c>
      <c r="G2330" t="s">
        <v>146</v>
      </c>
    </row>
    <row r="2331" spans="1:7" hidden="1" x14ac:dyDescent="0.35">
      <c r="A2331" t="s">
        <v>6</v>
      </c>
      <c r="B2331" t="s">
        <v>68</v>
      </c>
      <c r="C2331" t="s">
        <v>57</v>
      </c>
      <c r="D2331">
        <v>2023</v>
      </c>
      <c r="E2331" t="s">
        <v>146</v>
      </c>
      <c r="F2331">
        <v>3440</v>
      </c>
      <c r="G2331" t="s">
        <v>146</v>
      </c>
    </row>
    <row r="2332" spans="1:7" hidden="1" x14ac:dyDescent="0.35">
      <c r="A2332" t="s">
        <v>6</v>
      </c>
      <c r="B2332" t="s">
        <v>68</v>
      </c>
      <c r="C2332" t="s">
        <v>57</v>
      </c>
      <c r="D2332">
        <v>2024</v>
      </c>
      <c r="E2332" t="s">
        <v>146</v>
      </c>
      <c r="F2332">
        <v>3790</v>
      </c>
      <c r="G2332" t="s">
        <v>146</v>
      </c>
    </row>
    <row r="2333" spans="1:7" hidden="1" x14ac:dyDescent="0.35">
      <c r="A2333" t="s">
        <v>6</v>
      </c>
      <c r="B2333" t="s">
        <v>68</v>
      </c>
      <c r="C2333" t="s">
        <v>57</v>
      </c>
      <c r="D2333">
        <v>2025</v>
      </c>
      <c r="E2333" t="s">
        <v>146</v>
      </c>
      <c r="F2333">
        <v>3940</v>
      </c>
      <c r="G2333" t="s">
        <v>146</v>
      </c>
    </row>
    <row r="2334" spans="1:7" hidden="1" x14ac:dyDescent="0.35">
      <c r="A2334" t="s">
        <v>7</v>
      </c>
      <c r="B2334" t="s">
        <v>7</v>
      </c>
      <c r="C2334" t="s">
        <v>57</v>
      </c>
      <c r="D2334">
        <v>2022</v>
      </c>
      <c r="E2334" t="s">
        <v>146</v>
      </c>
      <c r="F2334">
        <v>2569</v>
      </c>
      <c r="G2334" t="s">
        <v>146</v>
      </c>
    </row>
    <row r="2335" spans="1:7" hidden="1" x14ac:dyDescent="0.35">
      <c r="A2335" t="s">
        <v>7</v>
      </c>
      <c r="B2335" t="s">
        <v>7</v>
      </c>
      <c r="C2335" t="s">
        <v>57</v>
      </c>
      <c r="D2335">
        <v>2023</v>
      </c>
      <c r="E2335" t="s">
        <v>146</v>
      </c>
      <c r="F2335">
        <v>2900</v>
      </c>
      <c r="G2335" t="s">
        <v>146</v>
      </c>
    </row>
    <row r="2336" spans="1:7" hidden="1" x14ac:dyDescent="0.35">
      <c r="A2336" t="s">
        <v>7</v>
      </c>
      <c r="B2336" t="s">
        <v>7</v>
      </c>
      <c r="C2336" t="s">
        <v>57</v>
      </c>
      <c r="D2336">
        <v>2024</v>
      </c>
      <c r="E2336" t="s">
        <v>146</v>
      </c>
      <c r="F2336">
        <v>3300</v>
      </c>
      <c r="G2336" t="s">
        <v>146</v>
      </c>
    </row>
    <row r="2337" spans="1:7" hidden="1" x14ac:dyDescent="0.35">
      <c r="A2337" t="s">
        <v>7</v>
      </c>
      <c r="B2337" t="s">
        <v>7</v>
      </c>
      <c r="C2337" t="s">
        <v>57</v>
      </c>
      <c r="D2337">
        <v>2025</v>
      </c>
      <c r="E2337" t="s">
        <v>146</v>
      </c>
      <c r="F2337">
        <v>3468</v>
      </c>
      <c r="G2337" t="s">
        <v>146</v>
      </c>
    </row>
    <row r="2338" spans="1:7" hidden="1" x14ac:dyDescent="0.35">
      <c r="A2338" t="s">
        <v>8</v>
      </c>
      <c r="B2338" t="s">
        <v>69</v>
      </c>
      <c r="C2338" t="s">
        <v>57</v>
      </c>
      <c r="D2338">
        <v>2022</v>
      </c>
      <c r="E2338" t="s">
        <v>146</v>
      </c>
      <c r="F2338">
        <v>500</v>
      </c>
      <c r="G2338" t="s">
        <v>146</v>
      </c>
    </row>
    <row r="2339" spans="1:7" hidden="1" x14ac:dyDescent="0.35">
      <c r="A2339" t="s">
        <v>8</v>
      </c>
      <c r="B2339" t="s">
        <v>69</v>
      </c>
      <c r="C2339" t="s">
        <v>57</v>
      </c>
      <c r="D2339">
        <v>2023</v>
      </c>
      <c r="E2339" t="s">
        <v>146</v>
      </c>
      <c r="F2339">
        <v>657</v>
      </c>
      <c r="G2339" t="s">
        <v>146</v>
      </c>
    </row>
    <row r="2340" spans="1:7" hidden="1" x14ac:dyDescent="0.35">
      <c r="A2340" t="s">
        <v>8</v>
      </c>
      <c r="B2340" t="s">
        <v>69</v>
      </c>
      <c r="C2340" t="s">
        <v>57</v>
      </c>
      <c r="D2340">
        <v>2024</v>
      </c>
      <c r="E2340" t="s">
        <v>146</v>
      </c>
      <c r="F2340">
        <v>941</v>
      </c>
      <c r="G2340" t="s">
        <v>146</v>
      </c>
    </row>
    <row r="2341" spans="1:7" hidden="1" x14ac:dyDescent="0.35">
      <c r="A2341" t="s">
        <v>8</v>
      </c>
      <c r="B2341" t="s">
        <v>69</v>
      </c>
      <c r="C2341" t="s">
        <v>57</v>
      </c>
      <c r="D2341">
        <v>2025</v>
      </c>
      <c r="E2341" t="s">
        <v>146</v>
      </c>
      <c r="F2341">
        <v>1247</v>
      </c>
      <c r="G2341" t="s">
        <v>146</v>
      </c>
    </row>
    <row r="2342" spans="1:7" hidden="1" x14ac:dyDescent="0.35">
      <c r="A2342" t="s">
        <v>9</v>
      </c>
      <c r="B2342" t="s">
        <v>70</v>
      </c>
      <c r="C2342" t="s">
        <v>57</v>
      </c>
      <c r="D2342">
        <v>2022</v>
      </c>
      <c r="E2342" t="s">
        <v>146</v>
      </c>
      <c r="F2342">
        <v>3518</v>
      </c>
      <c r="G2342" t="s">
        <v>146</v>
      </c>
    </row>
    <row r="2343" spans="1:7" hidden="1" x14ac:dyDescent="0.35">
      <c r="A2343" t="s">
        <v>9</v>
      </c>
      <c r="B2343" t="s">
        <v>70</v>
      </c>
      <c r="C2343" t="s">
        <v>57</v>
      </c>
      <c r="D2343">
        <v>2023</v>
      </c>
      <c r="E2343" t="s">
        <v>146</v>
      </c>
      <c r="F2343">
        <v>4468</v>
      </c>
      <c r="G2343" t="s">
        <v>146</v>
      </c>
    </row>
    <row r="2344" spans="1:7" hidden="1" x14ac:dyDescent="0.35">
      <c r="A2344" t="s">
        <v>9</v>
      </c>
      <c r="B2344" t="s">
        <v>70</v>
      </c>
      <c r="C2344" t="s">
        <v>57</v>
      </c>
      <c r="D2344">
        <v>2024</v>
      </c>
      <c r="E2344" t="s">
        <v>146</v>
      </c>
      <c r="F2344">
        <v>4739</v>
      </c>
      <c r="G2344" t="s">
        <v>146</v>
      </c>
    </row>
    <row r="2345" spans="1:7" hidden="1" x14ac:dyDescent="0.35">
      <c r="A2345" t="s">
        <v>9</v>
      </c>
      <c r="B2345" t="s">
        <v>70</v>
      </c>
      <c r="C2345" t="s">
        <v>57</v>
      </c>
      <c r="D2345">
        <v>2025</v>
      </c>
      <c r="E2345" t="s">
        <v>146</v>
      </c>
      <c r="F2345">
        <v>4441</v>
      </c>
      <c r="G2345" t="s">
        <v>146</v>
      </c>
    </row>
    <row r="2346" spans="1:7" hidden="1" x14ac:dyDescent="0.35">
      <c r="A2346" t="s">
        <v>10</v>
      </c>
      <c r="B2346" t="s">
        <v>71</v>
      </c>
      <c r="C2346" t="s">
        <v>57</v>
      </c>
      <c r="D2346">
        <v>2022</v>
      </c>
      <c r="E2346" t="s">
        <v>146</v>
      </c>
      <c r="F2346">
        <v>581</v>
      </c>
      <c r="G2346" t="s">
        <v>146</v>
      </c>
    </row>
    <row r="2347" spans="1:7" hidden="1" x14ac:dyDescent="0.35">
      <c r="A2347" t="s">
        <v>10</v>
      </c>
      <c r="B2347" t="s">
        <v>71</v>
      </c>
      <c r="C2347" t="s">
        <v>57</v>
      </c>
      <c r="D2347">
        <v>2023</v>
      </c>
      <c r="E2347" t="s">
        <v>146</v>
      </c>
      <c r="F2347">
        <v>547</v>
      </c>
      <c r="G2347" t="s">
        <v>146</v>
      </c>
    </row>
    <row r="2348" spans="1:7" hidden="1" x14ac:dyDescent="0.35">
      <c r="A2348" t="s">
        <v>10</v>
      </c>
      <c r="B2348" t="s">
        <v>71</v>
      </c>
      <c r="C2348" t="s">
        <v>57</v>
      </c>
      <c r="D2348">
        <v>2024</v>
      </c>
      <c r="E2348" t="s">
        <v>146</v>
      </c>
      <c r="F2348">
        <v>543</v>
      </c>
      <c r="G2348" t="s">
        <v>146</v>
      </c>
    </row>
    <row r="2349" spans="1:7" hidden="1" x14ac:dyDescent="0.35">
      <c r="A2349" t="s">
        <v>10</v>
      </c>
      <c r="B2349" t="s">
        <v>71</v>
      </c>
      <c r="C2349" t="s">
        <v>57</v>
      </c>
      <c r="D2349">
        <v>2025</v>
      </c>
      <c r="E2349" t="s">
        <v>146</v>
      </c>
      <c r="F2349">
        <v>2981</v>
      </c>
      <c r="G2349" t="s">
        <v>146</v>
      </c>
    </row>
    <row r="2350" spans="1:7" hidden="1" x14ac:dyDescent="0.35">
      <c r="A2350" t="s">
        <v>11</v>
      </c>
      <c r="B2350" t="s">
        <v>72</v>
      </c>
      <c r="C2350" t="s">
        <v>57</v>
      </c>
      <c r="D2350">
        <v>2022</v>
      </c>
      <c r="E2350" t="s">
        <v>146</v>
      </c>
      <c r="F2350">
        <v>399</v>
      </c>
      <c r="G2350" t="s">
        <v>146</v>
      </c>
    </row>
    <row r="2351" spans="1:7" hidden="1" x14ac:dyDescent="0.35">
      <c r="A2351" t="s">
        <v>11</v>
      </c>
      <c r="B2351" t="s">
        <v>72</v>
      </c>
      <c r="C2351" t="s">
        <v>57</v>
      </c>
      <c r="D2351">
        <v>2023</v>
      </c>
      <c r="E2351" t="s">
        <v>146</v>
      </c>
      <c r="F2351">
        <v>396</v>
      </c>
      <c r="G2351" t="s">
        <v>146</v>
      </c>
    </row>
    <row r="2352" spans="1:7" hidden="1" x14ac:dyDescent="0.35">
      <c r="A2352" t="s">
        <v>11</v>
      </c>
      <c r="B2352" t="s">
        <v>72</v>
      </c>
      <c r="C2352" t="s">
        <v>57</v>
      </c>
      <c r="D2352">
        <v>2024</v>
      </c>
      <c r="E2352" t="s">
        <v>146</v>
      </c>
      <c r="F2352">
        <v>379</v>
      </c>
      <c r="G2352" t="s">
        <v>146</v>
      </c>
    </row>
    <row r="2353" spans="1:7" hidden="1" x14ac:dyDescent="0.35">
      <c r="A2353" t="s">
        <v>11</v>
      </c>
      <c r="B2353" t="s">
        <v>72</v>
      </c>
      <c r="C2353" t="s">
        <v>57</v>
      </c>
      <c r="D2353">
        <v>2025</v>
      </c>
      <c r="E2353" t="s">
        <v>146</v>
      </c>
      <c r="F2353">
        <v>191</v>
      </c>
      <c r="G2353" t="s">
        <v>146</v>
      </c>
    </row>
    <row r="2354" spans="1:7" hidden="1" x14ac:dyDescent="0.35">
      <c r="A2354" t="s">
        <v>12</v>
      </c>
      <c r="B2354" t="s">
        <v>73</v>
      </c>
      <c r="C2354" t="s">
        <v>57</v>
      </c>
      <c r="D2354">
        <v>2022</v>
      </c>
      <c r="E2354" t="s">
        <v>146</v>
      </c>
      <c r="F2354">
        <v>10433</v>
      </c>
      <c r="G2354" t="s">
        <v>146</v>
      </c>
    </row>
    <row r="2355" spans="1:7" hidden="1" x14ac:dyDescent="0.35">
      <c r="A2355" t="s">
        <v>12</v>
      </c>
      <c r="B2355" t="s">
        <v>73</v>
      </c>
      <c r="C2355" t="s">
        <v>57</v>
      </c>
      <c r="D2355">
        <v>2023</v>
      </c>
      <c r="E2355" t="s">
        <v>146</v>
      </c>
      <c r="F2355">
        <v>10233</v>
      </c>
      <c r="G2355" t="s">
        <v>146</v>
      </c>
    </row>
    <row r="2356" spans="1:7" hidden="1" x14ac:dyDescent="0.35">
      <c r="A2356" t="s">
        <v>12</v>
      </c>
      <c r="B2356" t="s">
        <v>73</v>
      </c>
      <c r="C2356" t="s">
        <v>57</v>
      </c>
      <c r="D2356">
        <v>2024</v>
      </c>
      <c r="E2356" t="s">
        <v>146</v>
      </c>
      <c r="F2356">
        <v>10238</v>
      </c>
      <c r="G2356" t="s">
        <v>146</v>
      </c>
    </row>
    <row r="2357" spans="1:7" hidden="1" x14ac:dyDescent="0.35">
      <c r="A2357" t="s">
        <v>12</v>
      </c>
      <c r="B2357" t="s">
        <v>73</v>
      </c>
      <c r="C2357" t="s">
        <v>57</v>
      </c>
      <c r="D2357">
        <v>2025</v>
      </c>
      <c r="E2357" t="s">
        <v>146</v>
      </c>
      <c r="F2357">
        <v>5584</v>
      </c>
      <c r="G2357" t="s">
        <v>146</v>
      </c>
    </row>
    <row r="2358" spans="1:7" hidden="1" x14ac:dyDescent="0.35">
      <c r="A2358" t="s">
        <v>12</v>
      </c>
      <c r="B2358" t="s">
        <v>73</v>
      </c>
      <c r="C2358" t="s">
        <v>58</v>
      </c>
      <c r="D2358">
        <v>2022</v>
      </c>
      <c r="E2358" t="s">
        <v>146</v>
      </c>
      <c r="F2358">
        <v>283</v>
      </c>
      <c r="G2358" t="s">
        <v>146</v>
      </c>
    </row>
    <row r="2359" spans="1:7" hidden="1" x14ac:dyDescent="0.35">
      <c r="A2359" t="s">
        <v>12</v>
      </c>
      <c r="B2359" t="s">
        <v>73</v>
      </c>
      <c r="C2359" t="s">
        <v>58</v>
      </c>
      <c r="D2359">
        <v>2023</v>
      </c>
      <c r="E2359" t="s">
        <v>146</v>
      </c>
      <c r="F2359">
        <v>242</v>
      </c>
      <c r="G2359" t="s">
        <v>146</v>
      </c>
    </row>
    <row r="2360" spans="1:7" hidden="1" x14ac:dyDescent="0.35">
      <c r="A2360" t="s">
        <v>12</v>
      </c>
      <c r="B2360" t="s">
        <v>73</v>
      </c>
      <c r="C2360" t="s">
        <v>58</v>
      </c>
      <c r="D2360">
        <v>2024</v>
      </c>
      <c r="E2360" t="s">
        <v>146</v>
      </c>
      <c r="F2360">
        <v>200</v>
      </c>
      <c r="G2360" t="s">
        <v>146</v>
      </c>
    </row>
    <row r="2361" spans="1:7" hidden="1" x14ac:dyDescent="0.35">
      <c r="A2361" t="s">
        <v>12</v>
      </c>
      <c r="B2361" t="s">
        <v>73</v>
      </c>
      <c r="C2361" t="s">
        <v>58</v>
      </c>
      <c r="D2361">
        <v>2025</v>
      </c>
      <c r="E2361" t="s">
        <v>146</v>
      </c>
      <c r="F2361">
        <v>92</v>
      </c>
      <c r="G2361" t="s">
        <v>146</v>
      </c>
    </row>
    <row r="2362" spans="1:7" hidden="1" x14ac:dyDescent="0.35">
      <c r="A2362" t="s">
        <v>12</v>
      </c>
      <c r="B2362" t="s">
        <v>73</v>
      </c>
      <c r="C2362" t="s">
        <v>59</v>
      </c>
      <c r="D2362">
        <v>2022</v>
      </c>
      <c r="E2362" t="s">
        <v>146</v>
      </c>
      <c r="F2362">
        <v>2534</v>
      </c>
      <c r="G2362" t="s">
        <v>146</v>
      </c>
    </row>
    <row r="2363" spans="1:7" hidden="1" x14ac:dyDescent="0.35">
      <c r="A2363" t="s">
        <v>12</v>
      </c>
      <c r="B2363" t="s">
        <v>73</v>
      </c>
      <c r="C2363" t="s">
        <v>59</v>
      </c>
      <c r="D2363">
        <v>2023</v>
      </c>
      <c r="E2363" t="s">
        <v>146</v>
      </c>
      <c r="F2363">
        <v>2575</v>
      </c>
      <c r="G2363" t="s">
        <v>146</v>
      </c>
    </row>
    <row r="2364" spans="1:7" hidden="1" x14ac:dyDescent="0.35">
      <c r="A2364" t="s">
        <v>12</v>
      </c>
      <c r="B2364" t="s">
        <v>73</v>
      </c>
      <c r="C2364" t="s">
        <v>59</v>
      </c>
      <c r="D2364">
        <v>2024</v>
      </c>
      <c r="E2364" t="s">
        <v>146</v>
      </c>
      <c r="F2364">
        <v>2489</v>
      </c>
      <c r="G2364" t="s">
        <v>146</v>
      </c>
    </row>
    <row r="2365" spans="1:7" hidden="1" x14ac:dyDescent="0.35">
      <c r="A2365" t="s">
        <v>12</v>
      </c>
      <c r="B2365" t="s">
        <v>73</v>
      </c>
      <c r="C2365" t="s">
        <v>59</v>
      </c>
      <c r="D2365">
        <v>2025</v>
      </c>
      <c r="E2365" t="s">
        <v>146</v>
      </c>
      <c r="F2365">
        <v>2450</v>
      </c>
      <c r="G2365" t="s">
        <v>146</v>
      </c>
    </row>
    <row r="2366" spans="1:7" hidden="1" x14ac:dyDescent="0.35">
      <c r="A2366" t="s">
        <v>13</v>
      </c>
      <c r="B2366" t="s">
        <v>74</v>
      </c>
      <c r="C2366" t="s">
        <v>57</v>
      </c>
      <c r="D2366">
        <v>2022</v>
      </c>
      <c r="E2366" t="s">
        <v>146</v>
      </c>
      <c r="F2366">
        <v>6889</v>
      </c>
      <c r="G2366" t="s">
        <v>146</v>
      </c>
    </row>
    <row r="2367" spans="1:7" hidden="1" x14ac:dyDescent="0.35">
      <c r="A2367" t="s">
        <v>13</v>
      </c>
      <c r="B2367" t="s">
        <v>74</v>
      </c>
      <c r="C2367" t="s">
        <v>57</v>
      </c>
      <c r="D2367">
        <v>2023</v>
      </c>
      <c r="E2367" t="s">
        <v>146</v>
      </c>
      <c r="F2367">
        <v>5934</v>
      </c>
      <c r="G2367" t="s">
        <v>146</v>
      </c>
    </row>
    <row r="2368" spans="1:7" hidden="1" x14ac:dyDescent="0.35">
      <c r="A2368" t="s">
        <v>13</v>
      </c>
      <c r="B2368" t="s">
        <v>74</v>
      </c>
      <c r="C2368" t="s">
        <v>57</v>
      </c>
      <c r="D2368">
        <v>2024</v>
      </c>
      <c r="E2368" t="s">
        <v>146</v>
      </c>
      <c r="F2368">
        <v>5128</v>
      </c>
      <c r="G2368" t="s">
        <v>146</v>
      </c>
    </row>
    <row r="2369" spans="1:7" hidden="1" x14ac:dyDescent="0.35">
      <c r="A2369" t="s">
        <v>13</v>
      </c>
      <c r="B2369" t="s">
        <v>74</v>
      </c>
      <c r="C2369" t="s">
        <v>57</v>
      </c>
      <c r="D2369">
        <v>2025</v>
      </c>
      <c r="E2369" t="s">
        <v>146</v>
      </c>
      <c r="F2369">
        <v>2977</v>
      </c>
      <c r="G2369" t="s">
        <v>146</v>
      </c>
    </row>
    <row r="2370" spans="1:7" hidden="1" x14ac:dyDescent="0.35">
      <c r="A2370" t="s">
        <v>13</v>
      </c>
      <c r="B2370" t="s">
        <v>74</v>
      </c>
      <c r="C2370" t="s">
        <v>58</v>
      </c>
      <c r="D2370">
        <v>2022</v>
      </c>
      <c r="E2370" t="s">
        <v>146</v>
      </c>
      <c r="F2370">
        <v>166</v>
      </c>
      <c r="G2370" t="s">
        <v>146</v>
      </c>
    </row>
    <row r="2371" spans="1:7" hidden="1" x14ac:dyDescent="0.35">
      <c r="A2371" t="s">
        <v>13</v>
      </c>
      <c r="B2371" t="s">
        <v>74</v>
      </c>
      <c r="C2371" t="s">
        <v>58</v>
      </c>
      <c r="D2371">
        <v>2023</v>
      </c>
      <c r="E2371" t="s">
        <v>146</v>
      </c>
      <c r="F2371">
        <v>118</v>
      </c>
      <c r="G2371" t="s">
        <v>146</v>
      </c>
    </row>
    <row r="2372" spans="1:7" hidden="1" x14ac:dyDescent="0.35">
      <c r="A2372" t="s">
        <v>13</v>
      </c>
      <c r="B2372" t="s">
        <v>74</v>
      </c>
      <c r="C2372" t="s">
        <v>58</v>
      </c>
      <c r="D2372">
        <v>2024</v>
      </c>
      <c r="E2372" t="s">
        <v>146</v>
      </c>
      <c r="F2372">
        <v>159</v>
      </c>
      <c r="G2372" t="s">
        <v>146</v>
      </c>
    </row>
    <row r="2373" spans="1:7" hidden="1" x14ac:dyDescent="0.35">
      <c r="A2373" t="s">
        <v>13</v>
      </c>
      <c r="B2373" t="s">
        <v>74</v>
      </c>
      <c r="C2373" t="s">
        <v>58</v>
      </c>
      <c r="D2373">
        <v>2025</v>
      </c>
      <c r="E2373" t="s">
        <v>146</v>
      </c>
      <c r="F2373">
        <v>1926</v>
      </c>
      <c r="G2373" t="s">
        <v>146</v>
      </c>
    </row>
    <row r="2374" spans="1:7" hidden="1" x14ac:dyDescent="0.35">
      <c r="A2374" t="s">
        <v>13</v>
      </c>
      <c r="B2374" t="s">
        <v>74</v>
      </c>
      <c r="C2374" t="s">
        <v>59</v>
      </c>
      <c r="D2374">
        <v>2022</v>
      </c>
      <c r="E2374" t="s">
        <v>146</v>
      </c>
      <c r="F2374">
        <v>1650</v>
      </c>
      <c r="G2374" t="s">
        <v>146</v>
      </c>
    </row>
    <row r="2375" spans="1:7" hidden="1" x14ac:dyDescent="0.35">
      <c r="A2375" t="s">
        <v>13</v>
      </c>
      <c r="B2375" t="s">
        <v>74</v>
      </c>
      <c r="C2375" t="s">
        <v>59</v>
      </c>
      <c r="D2375">
        <v>2023</v>
      </c>
      <c r="E2375" t="s">
        <v>146</v>
      </c>
      <c r="F2375">
        <v>1385</v>
      </c>
      <c r="G2375" t="s">
        <v>146</v>
      </c>
    </row>
    <row r="2376" spans="1:7" hidden="1" x14ac:dyDescent="0.35">
      <c r="A2376" t="s">
        <v>13</v>
      </c>
      <c r="B2376" t="s">
        <v>74</v>
      </c>
      <c r="C2376" t="s">
        <v>59</v>
      </c>
      <c r="D2376">
        <v>2024</v>
      </c>
      <c r="E2376" t="s">
        <v>146</v>
      </c>
      <c r="F2376">
        <v>1381</v>
      </c>
      <c r="G2376" t="s">
        <v>146</v>
      </c>
    </row>
    <row r="2377" spans="1:7" hidden="1" x14ac:dyDescent="0.35">
      <c r="A2377" t="s">
        <v>13</v>
      </c>
      <c r="B2377" t="s">
        <v>74</v>
      </c>
      <c r="C2377" t="s">
        <v>59</v>
      </c>
      <c r="D2377">
        <v>2025</v>
      </c>
      <c r="E2377" t="s">
        <v>146</v>
      </c>
      <c r="F2377">
        <v>1216</v>
      </c>
      <c r="G2377" t="s">
        <v>146</v>
      </c>
    </row>
    <row r="2378" spans="1:7" hidden="1" x14ac:dyDescent="0.35">
      <c r="A2378" t="s">
        <v>14</v>
      </c>
      <c r="B2378" t="s">
        <v>75</v>
      </c>
      <c r="C2378" t="s">
        <v>57</v>
      </c>
      <c r="D2378">
        <v>2022</v>
      </c>
      <c r="E2378" t="s">
        <v>146</v>
      </c>
      <c r="F2378">
        <v>2329</v>
      </c>
      <c r="G2378" t="s">
        <v>146</v>
      </c>
    </row>
    <row r="2379" spans="1:7" hidden="1" x14ac:dyDescent="0.35">
      <c r="A2379" t="s">
        <v>14</v>
      </c>
      <c r="B2379" t="s">
        <v>75</v>
      </c>
      <c r="C2379" t="s">
        <v>57</v>
      </c>
      <c r="D2379">
        <v>2023</v>
      </c>
      <c r="E2379" t="s">
        <v>146</v>
      </c>
      <c r="F2379">
        <v>2497</v>
      </c>
      <c r="G2379" t="s">
        <v>146</v>
      </c>
    </row>
    <row r="2380" spans="1:7" hidden="1" x14ac:dyDescent="0.35">
      <c r="A2380" t="s">
        <v>14</v>
      </c>
      <c r="B2380" t="s">
        <v>75</v>
      </c>
      <c r="C2380" t="s">
        <v>57</v>
      </c>
      <c r="D2380">
        <v>2024</v>
      </c>
      <c r="E2380" t="s">
        <v>146</v>
      </c>
      <c r="F2380">
        <v>2116</v>
      </c>
      <c r="G2380" t="s">
        <v>146</v>
      </c>
    </row>
    <row r="2381" spans="1:7" hidden="1" x14ac:dyDescent="0.35">
      <c r="A2381" t="s">
        <v>14</v>
      </c>
      <c r="B2381" t="s">
        <v>75</v>
      </c>
      <c r="C2381" t="s">
        <v>57</v>
      </c>
      <c r="D2381">
        <v>2025</v>
      </c>
      <c r="E2381" t="s">
        <v>146</v>
      </c>
      <c r="F2381">
        <v>944</v>
      </c>
      <c r="G2381" t="s">
        <v>146</v>
      </c>
    </row>
    <row r="2382" spans="1:7" hidden="1" x14ac:dyDescent="0.35">
      <c r="A2382" t="s">
        <v>14</v>
      </c>
      <c r="B2382" t="s">
        <v>75</v>
      </c>
      <c r="C2382" t="s">
        <v>58</v>
      </c>
      <c r="D2382">
        <v>2022</v>
      </c>
      <c r="E2382" t="s">
        <v>146</v>
      </c>
      <c r="F2382">
        <v>218</v>
      </c>
      <c r="G2382" t="s">
        <v>146</v>
      </c>
    </row>
    <row r="2383" spans="1:7" hidden="1" x14ac:dyDescent="0.35">
      <c r="A2383" t="s">
        <v>14</v>
      </c>
      <c r="B2383" t="s">
        <v>75</v>
      </c>
      <c r="C2383" t="s">
        <v>58</v>
      </c>
      <c r="D2383">
        <v>2023</v>
      </c>
      <c r="E2383" t="s">
        <v>146</v>
      </c>
      <c r="F2383">
        <v>529</v>
      </c>
      <c r="G2383" t="s">
        <v>146</v>
      </c>
    </row>
    <row r="2384" spans="1:7" hidden="1" x14ac:dyDescent="0.35">
      <c r="A2384" t="s">
        <v>14</v>
      </c>
      <c r="B2384" t="s">
        <v>75</v>
      </c>
      <c r="C2384" t="s">
        <v>58</v>
      </c>
      <c r="D2384">
        <v>2024</v>
      </c>
      <c r="E2384" t="s">
        <v>146</v>
      </c>
      <c r="F2384">
        <v>261</v>
      </c>
      <c r="G2384" t="s">
        <v>146</v>
      </c>
    </row>
    <row r="2385" spans="1:7" hidden="1" x14ac:dyDescent="0.35">
      <c r="A2385" t="s">
        <v>14</v>
      </c>
      <c r="B2385" t="s">
        <v>75</v>
      </c>
      <c r="C2385" t="s">
        <v>58</v>
      </c>
      <c r="D2385">
        <v>2025</v>
      </c>
      <c r="E2385" t="s">
        <v>146</v>
      </c>
      <c r="F2385">
        <v>318</v>
      </c>
      <c r="G2385" t="s">
        <v>146</v>
      </c>
    </row>
    <row r="2386" spans="1:7" hidden="1" x14ac:dyDescent="0.35">
      <c r="A2386" t="s">
        <v>14</v>
      </c>
      <c r="B2386" t="s">
        <v>75</v>
      </c>
      <c r="C2386" t="s">
        <v>59</v>
      </c>
      <c r="D2386">
        <v>2022</v>
      </c>
      <c r="E2386" t="s">
        <v>146</v>
      </c>
      <c r="F2386">
        <v>600</v>
      </c>
      <c r="G2386" t="s">
        <v>146</v>
      </c>
    </row>
    <row r="2387" spans="1:7" hidden="1" x14ac:dyDescent="0.35">
      <c r="A2387" t="s">
        <v>14</v>
      </c>
      <c r="B2387" t="s">
        <v>75</v>
      </c>
      <c r="C2387" t="s">
        <v>59</v>
      </c>
      <c r="D2387">
        <v>2023</v>
      </c>
      <c r="E2387" t="s">
        <v>146</v>
      </c>
      <c r="F2387">
        <v>694</v>
      </c>
      <c r="G2387" t="s">
        <v>146</v>
      </c>
    </row>
    <row r="2388" spans="1:7" hidden="1" x14ac:dyDescent="0.35">
      <c r="A2388" t="s">
        <v>14</v>
      </c>
      <c r="B2388" t="s">
        <v>75</v>
      </c>
      <c r="C2388" t="s">
        <v>59</v>
      </c>
      <c r="D2388">
        <v>2024</v>
      </c>
      <c r="E2388" t="s">
        <v>146</v>
      </c>
      <c r="F2388">
        <v>514</v>
      </c>
      <c r="G2388" t="s">
        <v>146</v>
      </c>
    </row>
    <row r="2389" spans="1:7" hidden="1" x14ac:dyDescent="0.35">
      <c r="A2389" t="s">
        <v>14</v>
      </c>
      <c r="B2389" t="s">
        <v>75</v>
      </c>
      <c r="C2389" t="s">
        <v>59</v>
      </c>
      <c r="D2389">
        <v>2025</v>
      </c>
      <c r="E2389" t="s">
        <v>146</v>
      </c>
      <c r="F2389">
        <v>528</v>
      </c>
      <c r="G2389" t="s">
        <v>146</v>
      </c>
    </row>
    <row r="2390" spans="1:7" hidden="1" x14ac:dyDescent="0.35">
      <c r="A2390" t="s">
        <v>15</v>
      </c>
      <c r="B2390" t="s">
        <v>76</v>
      </c>
      <c r="C2390" t="s">
        <v>57</v>
      </c>
      <c r="D2390">
        <v>2022</v>
      </c>
      <c r="E2390" t="s">
        <v>146</v>
      </c>
      <c r="F2390">
        <v>2913</v>
      </c>
      <c r="G2390" t="s">
        <v>146</v>
      </c>
    </row>
    <row r="2391" spans="1:7" hidden="1" x14ac:dyDescent="0.35">
      <c r="A2391" t="s">
        <v>15</v>
      </c>
      <c r="B2391" t="s">
        <v>76</v>
      </c>
      <c r="C2391" t="s">
        <v>57</v>
      </c>
      <c r="D2391">
        <v>2023</v>
      </c>
      <c r="E2391" t="s">
        <v>146</v>
      </c>
      <c r="F2391">
        <v>2931</v>
      </c>
      <c r="G2391" t="s">
        <v>146</v>
      </c>
    </row>
    <row r="2392" spans="1:7" hidden="1" x14ac:dyDescent="0.35">
      <c r="A2392" t="s">
        <v>15</v>
      </c>
      <c r="B2392" t="s">
        <v>76</v>
      </c>
      <c r="C2392" t="s">
        <v>57</v>
      </c>
      <c r="D2392">
        <v>2024</v>
      </c>
      <c r="E2392" t="s">
        <v>146</v>
      </c>
      <c r="F2392">
        <v>2862</v>
      </c>
      <c r="G2392" t="s">
        <v>146</v>
      </c>
    </row>
    <row r="2393" spans="1:7" hidden="1" x14ac:dyDescent="0.35">
      <c r="A2393" t="s">
        <v>15</v>
      </c>
      <c r="B2393" t="s">
        <v>76</v>
      </c>
      <c r="C2393" t="s">
        <v>57</v>
      </c>
      <c r="D2393">
        <v>2025</v>
      </c>
      <c r="E2393" t="s">
        <v>146</v>
      </c>
      <c r="F2393">
        <v>1206</v>
      </c>
      <c r="G2393" t="s">
        <v>146</v>
      </c>
    </row>
    <row r="2394" spans="1:7" hidden="1" x14ac:dyDescent="0.35">
      <c r="A2394" t="s">
        <v>15</v>
      </c>
      <c r="B2394" t="s">
        <v>76</v>
      </c>
      <c r="C2394" t="s">
        <v>58</v>
      </c>
      <c r="D2394">
        <v>2022</v>
      </c>
      <c r="E2394" t="s">
        <v>146</v>
      </c>
      <c r="F2394">
        <v>68</v>
      </c>
      <c r="G2394" t="s">
        <v>146</v>
      </c>
    </row>
    <row r="2395" spans="1:7" hidden="1" x14ac:dyDescent="0.35">
      <c r="A2395" t="s">
        <v>15</v>
      </c>
      <c r="B2395" t="s">
        <v>76</v>
      </c>
      <c r="C2395" t="s">
        <v>58</v>
      </c>
      <c r="D2395">
        <v>2023</v>
      </c>
      <c r="E2395" t="s">
        <v>146</v>
      </c>
      <c r="F2395">
        <v>195</v>
      </c>
      <c r="G2395" t="s">
        <v>146</v>
      </c>
    </row>
    <row r="2396" spans="1:7" hidden="1" x14ac:dyDescent="0.35">
      <c r="A2396" t="s">
        <v>15</v>
      </c>
      <c r="B2396" t="s">
        <v>76</v>
      </c>
      <c r="C2396" t="s">
        <v>58</v>
      </c>
      <c r="D2396">
        <v>2024</v>
      </c>
      <c r="E2396" t="s">
        <v>146</v>
      </c>
      <c r="F2396">
        <v>114</v>
      </c>
      <c r="G2396" t="s">
        <v>146</v>
      </c>
    </row>
    <row r="2397" spans="1:7" hidden="1" x14ac:dyDescent="0.35">
      <c r="A2397" t="s">
        <v>15</v>
      </c>
      <c r="B2397" t="s">
        <v>76</v>
      </c>
      <c r="C2397" t="s">
        <v>58</v>
      </c>
      <c r="D2397">
        <v>2025</v>
      </c>
      <c r="E2397" t="s">
        <v>146</v>
      </c>
      <c r="F2397">
        <v>1763</v>
      </c>
      <c r="G2397" t="s">
        <v>146</v>
      </c>
    </row>
    <row r="2398" spans="1:7" hidden="1" x14ac:dyDescent="0.35">
      <c r="A2398" t="s">
        <v>15</v>
      </c>
      <c r="B2398" t="s">
        <v>76</v>
      </c>
      <c r="C2398" t="s">
        <v>59</v>
      </c>
      <c r="D2398">
        <v>2022</v>
      </c>
      <c r="E2398" t="s">
        <v>146</v>
      </c>
      <c r="F2398">
        <v>820</v>
      </c>
      <c r="G2398" t="s">
        <v>146</v>
      </c>
    </row>
    <row r="2399" spans="1:7" hidden="1" x14ac:dyDescent="0.35">
      <c r="A2399" t="s">
        <v>15</v>
      </c>
      <c r="B2399" t="s">
        <v>76</v>
      </c>
      <c r="C2399" t="s">
        <v>59</v>
      </c>
      <c r="D2399">
        <v>2023</v>
      </c>
      <c r="E2399" t="s">
        <v>146</v>
      </c>
      <c r="F2399">
        <v>745</v>
      </c>
      <c r="G2399" t="s">
        <v>146</v>
      </c>
    </row>
    <row r="2400" spans="1:7" hidden="1" x14ac:dyDescent="0.35">
      <c r="A2400" t="s">
        <v>15</v>
      </c>
      <c r="B2400" t="s">
        <v>76</v>
      </c>
      <c r="C2400" t="s">
        <v>59</v>
      </c>
      <c r="D2400">
        <v>2024</v>
      </c>
      <c r="E2400" t="s">
        <v>146</v>
      </c>
      <c r="F2400">
        <v>826</v>
      </c>
      <c r="G2400" t="s">
        <v>146</v>
      </c>
    </row>
    <row r="2401" spans="1:7" hidden="1" x14ac:dyDescent="0.35">
      <c r="A2401" t="s">
        <v>15</v>
      </c>
      <c r="B2401" t="s">
        <v>76</v>
      </c>
      <c r="C2401" t="s">
        <v>59</v>
      </c>
      <c r="D2401">
        <v>2025</v>
      </c>
      <c r="E2401" t="s">
        <v>146</v>
      </c>
      <c r="F2401">
        <v>930</v>
      </c>
      <c r="G2401" t="s">
        <v>146</v>
      </c>
    </row>
    <row r="2402" spans="1:7" hidden="1" x14ac:dyDescent="0.35">
      <c r="A2402" t="s">
        <v>16</v>
      </c>
      <c r="B2402" t="s">
        <v>77</v>
      </c>
      <c r="C2402" t="s">
        <v>57</v>
      </c>
      <c r="D2402">
        <v>2022</v>
      </c>
      <c r="E2402" t="s">
        <v>146</v>
      </c>
      <c r="F2402">
        <v>1714</v>
      </c>
      <c r="G2402" t="s">
        <v>146</v>
      </c>
    </row>
    <row r="2403" spans="1:7" hidden="1" x14ac:dyDescent="0.35">
      <c r="A2403" t="s">
        <v>16</v>
      </c>
      <c r="B2403" t="s">
        <v>77</v>
      </c>
      <c r="C2403" t="s">
        <v>57</v>
      </c>
      <c r="D2403">
        <v>2023</v>
      </c>
      <c r="E2403" t="s">
        <v>146</v>
      </c>
      <c r="F2403">
        <v>2320</v>
      </c>
      <c r="G2403" t="s">
        <v>146</v>
      </c>
    </row>
    <row r="2404" spans="1:7" hidden="1" x14ac:dyDescent="0.35">
      <c r="A2404" t="s">
        <v>16</v>
      </c>
      <c r="B2404" t="s">
        <v>77</v>
      </c>
      <c r="C2404" t="s">
        <v>57</v>
      </c>
      <c r="D2404">
        <v>2024</v>
      </c>
      <c r="E2404" t="s">
        <v>146</v>
      </c>
      <c r="F2404">
        <v>2673</v>
      </c>
      <c r="G2404" t="s">
        <v>146</v>
      </c>
    </row>
    <row r="2405" spans="1:7" hidden="1" x14ac:dyDescent="0.35">
      <c r="A2405" t="s">
        <v>16</v>
      </c>
      <c r="B2405" t="s">
        <v>77</v>
      </c>
      <c r="C2405" t="s">
        <v>57</v>
      </c>
      <c r="D2405">
        <v>2025</v>
      </c>
      <c r="E2405" t="s">
        <v>146</v>
      </c>
      <c r="F2405">
        <v>484</v>
      </c>
      <c r="G2405" t="s">
        <v>146</v>
      </c>
    </row>
    <row r="2406" spans="1:7" hidden="1" x14ac:dyDescent="0.35">
      <c r="A2406" t="s">
        <v>16</v>
      </c>
      <c r="B2406" t="s">
        <v>77</v>
      </c>
      <c r="C2406" t="s">
        <v>58</v>
      </c>
      <c r="D2406">
        <v>2022</v>
      </c>
      <c r="E2406" t="s">
        <v>146</v>
      </c>
      <c r="F2406">
        <v>67</v>
      </c>
      <c r="G2406" t="s">
        <v>146</v>
      </c>
    </row>
    <row r="2407" spans="1:7" hidden="1" x14ac:dyDescent="0.35">
      <c r="A2407" t="s">
        <v>16</v>
      </c>
      <c r="B2407" t="s">
        <v>77</v>
      </c>
      <c r="C2407" t="s">
        <v>58</v>
      </c>
      <c r="D2407">
        <v>2023</v>
      </c>
      <c r="E2407" t="s">
        <v>146</v>
      </c>
      <c r="F2407">
        <v>36</v>
      </c>
      <c r="G2407" t="s">
        <v>146</v>
      </c>
    </row>
    <row r="2408" spans="1:7" hidden="1" x14ac:dyDescent="0.35">
      <c r="A2408" t="s">
        <v>16</v>
      </c>
      <c r="B2408" t="s">
        <v>77</v>
      </c>
      <c r="C2408" t="s">
        <v>58</v>
      </c>
      <c r="D2408">
        <v>2024</v>
      </c>
      <c r="E2408" t="s">
        <v>146</v>
      </c>
      <c r="F2408">
        <v>71</v>
      </c>
      <c r="G2408" t="s">
        <v>146</v>
      </c>
    </row>
    <row r="2409" spans="1:7" hidden="1" x14ac:dyDescent="0.35">
      <c r="A2409" t="s">
        <v>16</v>
      </c>
      <c r="B2409" t="s">
        <v>77</v>
      </c>
      <c r="C2409" t="s">
        <v>58</v>
      </c>
      <c r="D2409">
        <v>2025</v>
      </c>
      <c r="E2409" t="s">
        <v>146</v>
      </c>
      <c r="F2409">
        <v>37</v>
      </c>
      <c r="G2409" t="s">
        <v>146</v>
      </c>
    </row>
    <row r="2410" spans="1:7" hidden="1" x14ac:dyDescent="0.35">
      <c r="A2410" t="s">
        <v>16</v>
      </c>
      <c r="B2410" t="s">
        <v>77</v>
      </c>
      <c r="C2410" t="s">
        <v>59</v>
      </c>
      <c r="D2410">
        <v>2022</v>
      </c>
      <c r="E2410" t="s">
        <v>146</v>
      </c>
      <c r="F2410">
        <v>559</v>
      </c>
      <c r="G2410" t="s">
        <v>146</v>
      </c>
    </row>
    <row r="2411" spans="1:7" hidden="1" x14ac:dyDescent="0.35">
      <c r="A2411" t="s">
        <v>16</v>
      </c>
      <c r="B2411" t="s">
        <v>77</v>
      </c>
      <c r="C2411" t="s">
        <v>59</v>
      </c>
      <c r="D2411">
        <v>2023</v>
      </c>
      <c r="E2411" t="s">
        <v>146</v>
      </c>
      <c r="F2411">
        <v>902</v>
      </c>
      <c r="G2411" t="s">
        <v>146</v>
      </c>
    </row>
    <row r="2412" spans="1:7" hidden="1" x14ac:dyDescent="0.35">
      <c r="A2412" t="s">
        <v>16</v>
      </c>
      <c r="B2412" t="s">
        <v>77</v>
      </c>
      <c r="C2412" t="s">
        <v>59</v>
      </c>
      <c r="D2412">
        <v>2024</v>
      </c>
      <c r="E2412" t="s">
        <v>146</v>
      </c>
      <c r="F2412">
        <v>838</v>
      </c>
      <c r="G2412" t="s">
        <v>146</v>
      </c>
    </row>
    <row r="2413" spans="1:7" hidden="1" x14ac:dyDescent="0.35">
      <c r="A2413" t="s">
        <v>16</v>
      </c>
      <c r="B2413" t="s">
        <v>77</v>
      </c>
      <c r="C2413" t="s">
        <v>59</v>
      </c>
      <c r="D2413">
        <v>2025</v>
      </c>
      <c r="E2413" t="s">
        <v>146</v>
      </c>
      <c r="F2413">
        <v>1343</v>
      </c>
      <c r="G2413" t="s">
        <v>146</v>
      </c>
    </row>
    <row r="2414" spans="1:7" hidden="1" x14ac:dyDescent="0.35">
      <c r="A2414" t="s">
        <v>17</v>
      </c>
      <c r="B2414" t="s">
        <v>78</v>
      </c>
      <c r="C2414" t="s">
        <v>57</v>
      </c>
      <c r="D2414">
        <v>2022</v>
      </c>
      <c r="E2414" t="s">
        <v>146</v>
      </c>
      <c r="F2414">
        <v>7984</v>
      </c>
      <c r="G2414" t="s">
        <v>146</v>
      </c>
    </row>
    <row r="2415" spans="1:7" hidden="1" x14ac:dyDescent="0.35">
      <c r="A2415" t="s">
        <v>17</v>
      </c>
      <c r="B2415" t="s">
        <v>78</v>
      </c>
      <c r="C2415" t="s">
        <v>57</v>
      </c>
      <c r="D2415">
        <v>2023</v>
      </c>
      <c r="E2415" t="s">
        <v>146</v>
      </c>
      <c r="F2415">
        <v>8212</v>
      </c>
      <c r="G2415" t="s">
        <v>146</v>
      </c>
    </row>
    <row r="2416" spans="1:7" hidden="1" x14ac:dyDescent="0.35">
      <c r="A2416" t="s">
        <v>17</v>
      </c>
      <c r="B2416" t="s">
        <v>78</v>
      </c>
      <c r="C2416" t="s">
        <v>57</v>
      </c>
      <c r="D2416">
        <v>2024</v>
      </c>
      <c r="E2416" t="s">
        <v>146</v>
      </c>
      <c r="F2416">
        <v>8155</v>
      </c>
      <c r="G2416" t="s">
        <v>146</v>
      </c>
    </row>
    <row r="2417" spans="1:7" hidden="1" x14ac:dyDescent="0.35">
      <c r="A2417" t="s">
        <v>17</v>
      </c>
      <c r="B2417" t="s">
        <v>78</v>
      </c>
      <c r="C2417" t="s">
        <v>57</v>
      </c>
      <c r="D2417">
        <v>2025</v>
      </c>
      <c r="E2417" t="s">
        <v>146</v>
      </c>
      <c r="F2417">
        <v>4532</v>
      </c>
      <c r="G2417" t="s">
        <v>146</v>
      </c>
    </row>
    <row r="2418" spans="1:7" hidden="1" x14ac:dyDescent="0.35">
      <c r="A2418" t="s">
        <v>17</v>
      </c>
      <c r="B2418" t="s">
        <v>78</v>
      </c>
      <c r="C2418" t="s">
        <v>59</v>
      </c>
      <c r="D2418">
        <v>2022</v>
      </c>
      <c r="E2418" t="s">
        <v>146</v>
      </c>
      <c r="F2418">
        <v>844</v>
      </c>
      <c r="G2418" t="s">
        <v>146</v>
      </c>
    </row>
    <row r="2419" spans="1:7" hidden="1" x14ac:dyDescent="0.35">
      <c r="A2419" t="s">
        <v>17</v>
      </c>
      <c r="B2419" t="s">
        <v>78</v>
      </c>
      <c r="C2419" t="s">
        <v>59</v>
      </c>
      <c r="D2419">
        <v>2023</v>
      </c>
      <c r="E2419" t="s">
        <v>146</v>
      </c>
      <c r="F2419">
        <v>1016</v>
      </c>
      <c r="G2419" t="s">
        <v>146</v>
      </c>
    </row>
    <row r="2420" spans="1:7" hidden="1" x14ac:dyDescent="0.35">
      <c r="A2420" t="s">
        <v>17</v>
      </c>
      <c r="B2420" t="s">
        <v>78</v>
      </c>
      <c r="C2420" t="s">
        <v>59</v>
      </c>
      <c r="D2420">
        <v>2024</v>
      </c>
      <c r="E2420" t="s">
        <v>146</v>
      </c>
      <c r="F2420">
        <v>1002</v>
      </c>
      <c r="G2420" t="s">
        <v>146</v>
      </c>
    </row>
    <row r="2421" spans="1:7" hidden="1" x14ac:dyDescent="0.35">
      <c r="A2421" t="s">
        <v>17</v>
      </c>
      <c r="B2421" t="s">
        <v>78</v>
      </c>
      <c r="C2421" t="s">
        <v>59</v>
      </c>
      <c r="D2421">
        <v>2025</v>
      </c>
      <c r="E2421" t="s">
        <v>146</v>
      </c>
      <c r="F2421">
        <v>1640</v>
      </c>
      <c r="G2421" t="s">
        <v>146</v>
      </c>
    </row>
    <row r="2422" spans="1:7" hidden="1" x14ac:dyDescent="0.35">
      <c r="A2422" t="s">
        <v>18</v>
      </c>
      <c r="B2422" t="s">
        <v>79</v>
      </c>
      <c r="C2422" t="s">
        <v>57</v>
      </c>
      <c r="D2422">
        <v>2022</v>
      </c>
      <c r="E2422" t="s">
        <v>146</v>
      </c>
      <c r="F2422">
        <v>4888</v>
      </c>
      <c r="G2422" t="s">
        <v>146</v>
      </c>
    </row>
    <row r="2423" spans="1:7" hidden="1" x14ac:dyDescent="0.35">
      <c r="A2423" t="s">
        <v>18</v>
      </c>
      <c r="B2423" t="s">
        <v>79</v>
      </c>
      <c r="C2423" t="s">
        <v>57</v>
      </c>
      <c r="D2423">
        <v>2023</v>
      </c>
      <c r="E2423" t="s">
        <v>146</v>
      </c>
      <c r="F2423">
        <v>4995</v>
      </c>
      <c r="G2423" t="s">
        <v>146</v>
      </c>
    </row>
    <row r="2424" spans="1:7" hidden="1" x14ac:dyDescent="0.35">
      <c r="A2424" t="s">
        <v>18</v>
      </c>
      <c r="B2424" t="s">
        <v>79</v>
      </c>
      <c r="C2424" t="s">
        <v>57</v>
      </c>
      <c r="D2424">
        <v>2024</v>
      </c>
      <c r="E2424" t="s">
        <v>146</v>
      </c>
      <c r="F2424">
        <v>5494</v>
      </c>
      <c r="G2424" t="s">
        <v>146</v>
      </c>
    </row>
    <row r="2425" spans="1:7" hidden="1" x14ac:dyDescent="0.35">
      <c r="A2425" t="s">
        <v>18</v>
      </c>
      <c r="B2425" t="s">
        <v>79</v>
      </c>
      <c r="C2425" t="s">
        <v>57</v>
      </c>
      <c r="D2425">
        <v>2025</v>
      </c>
      <c r="E2425" t="s">
        <v>146</v>
      </c>
      <c r="F2425">
        <v>7775</v>
      </c>
      <c r="G2425" t="s">
        <v>146</v>
      </c>
    </row>
    <row r="2426" spans="1:7" hidden="1" x14ac:dyDescent="0.35">
      <c r="A2426" t="s">
        <v>18</v>
      </c>
      <c r="B2426" t="s">
        <v>79</v>
      </c>
      <c r="C2426" t="s">
        <v>58</v>
      </c>
      <c r="D2426">
        <v>2022</v>
      </c>
      <c r="E2426" t="s">
        <v>146</v>
      </c>
      <c r="F2426">
        <v>142</v>
      </c>
      <c r="G2426" t="s">
        <v>146</v>
      </c>
    </row>
    <row r="2427" spans="1:7" hidden="1" x14ac:dyDescent="0.35">
      <c r="A2427" t="s">
        <v>18</v>
      </c>
      <c r="B2427" t="s">
        <v>79</v>
      </c>
      <c r="C2427" t="s">
        <v>58</v>
      </c>
      <c r="D2427">
        <v>2023</v>
      </c>
      <c r="E2427" t="s">
        <v>146</v>
      </c>
      <c r="F2427">
        <v>219</v>
      </c>
      <c r="G2427" t="s">
        <v>146</v>
      </c>
    </row>
    <row r="2428" spans="1:7" hidden="1" x14ac:dyDescent="0.35">
      <c r="A2428" t="s">
        <v>18</v>
      </c>
      <c r="B2428" t="s">
        <v>79</v>
      </c>
      <c r="C2428" t="s">
        <v>58</v>
      </c>
      <c r="D2428">
        <v>2024</v>
      </c>
      <c r="E2428" t="s">
        <v>146</v>
      </c>
      <c r="F2428">
        <v>197</v>
      </c>
      <c r="G2428" t="s">
        <v>146</v>
      </c>
    </row>
    <row r="2429" spans="1:7" hidden="1" x14ac:dyDescent="0.35">
      <c r="A2429" t="s">
        <v>18</v>
      </c>
      <c r="B2429" t="s">
        <v>79</v>
      </c>
      <c r="C2429" t="s">
        <v>58</v>
      </c>
      <c r="D2429">
        <v>2025</v>
      </c>
      <c r="E2429" t="s">
        <v>146</v>
      </c>
      <c r="F2429">
        <v>8138</v>
      </c>
      <c r="G2429" t="s">
        <v>146</v>
      </c>
    </row>
    <row r="2430" spans="1:7" hidden="1" x14ac:dyDescent="0.35">
      <c r="A2430" t="s">
        <v>18</v>
      </c>
      <c r="B2430" t="s">
        <v>79</v>
      </c>
      <c r="C2430" t="s">
        <v>59</v>
      </c>
      <c r="D2430">
        <v>2022</v>
      </c>
      <c r="E2430" t="s">
        <v>146</v>
      </c>
      <c r="F2430">
        <v>1240</v>
      </c>
      <c r="G2430" t="s">
        <v>146</v>
      </c>
    </row>
    <row r="2431" spans="1:7" hidden="1" x14ac:dyDescent="0.35">
      <c r="A2431" t="s">
        <v>18</v>
      </c>
      <c r="B2431" t="s">
        <v>79</v>
      </c>
      <c r="C2431" t="s">
        <v>59</v>
      </c>
      <c r="D2431">
        <v>2023</v>
      </c>
      <c r="E2431" t="s">
        <v>146</v>
      </c>
      <c r="F2431">
        <v>1326</v>
      </c>
      <c r="G2431" t="s">
        <v>146</v>
      </c>
    </row>
    <row r="2432" spans="1:7" hidden="1" x14ac:dyDescent="0.35">
      <c r="A2432" t="s">
        <v>18</v>
      </c>
      <c r="B2432" t="s">
        <v>79</v>
      </c>
      <c r="C2432" t="s">
        <v>59</v>
      </c>
      <c r="D2432">
        <v>2024</v>
      </c>
      <c r="E2432" t="s">
        <v>146</v>
      </c>
      <c r="F2432">
        <v>1692</v>
      </c>
      <c r="G2432" t="s">
        <v>146</v>
      </c>
    </row>
    <row r="2433" spans="1:7" hidden="1" x14ac:dyDescent="0.35">
      <c r="A2433" t="s">
        <v>18</v>
      </c>
      <c r="B2433" t="s">
        <v>79</v>
      </c>
      <c r="C2433" t="s">
        <v>59</v>
      </c>
      <c r="D2433">
        <v>2025</v>
      </c>
      <c r="E2433" t="s">
        <v>146</v>
      </c>
      <c r="F2433">
        <v>1854</v>
      </c>
      <c r="G2433" t="s">
        <v>146</v>
      </c>
    </row>
    <row r="2434" spans="1:7" hidden="1" x14ac:dyDescent="0.35">
      <c r="A2434" t="s">
        <v>19</v>
      </c>
      <c r="B2434" t="s">
        <v>80</v>
      </c>
      <c r="C2434" t="s">
        <v>57</v>
      </c>
      <c r="D2434">
        <v>2022</v>
      </c>
      <c r="E2434" t="s">
        <v>146</v>
      </c>
      <c r="F2434">
        <v>5061</v>
      </c>
      <c r="G2434" t="s">
        <v>146</v>
      </c>
    </row>
    <row r="2435" spans="1:7" hidden="1" x14ac:dyDescent="0.35">
      <c r="A2435" t="s">
        <v>19</v>
      </c>
      <c r="B2435" t="s">
        <v>80</v>
      </c>
      <c r="C2435" t="s">
        <v>57</v>
      </c>
      <c r="D2435">
        <v>2023</v>
      </c>
      <c r="E2435" t="s">
        <v>146</v>
      </c>
      <c r="F2435">
        <v>7104</v>
      </c>
      <c r="G2435" t="s">
        <v>146</v>
      </c>
    </row>
    <row r="2436" spans="1:7" hidden="1" x14ac:dyDescent="0.35">
      <c r="A2436" t="s">
        <v>19</v>
      </c>
      <c r="B2436" t="s">
        <v>80</v>
      </c>
      <c r="C2436" t="s">
        <v>57</v>
      </c>
      <c r="D2436">
        <v>2024</v>
      </c>
      <c r="E2436" t="s">
        <v>146</v>
      </c>
      <c r="F2436">
        <v>8047</v>
      </c>
      <c r="G2436" t="s">
        <v>146</v>
      </c>
    </row>
    <row r="2437" spans="1:7" hidden="1" x14ac:dyDescent="0.35">
      <c r="A2437" t="s">
        <v>19</v>
      </c>
      <c r="B2437" t="s">
        <v>80</v>
      </c>
      <c r="C2437" t="s">
        <v>57</v>
      </c>
      <c r="D2437">
        <v>2025</v>
      </c>
      <c r="E2437" t="s">
        <v>146</v>
      </c>
      <c r="F2437">
        <v>5146</v>
      </c>
      <c r="G2437" t="s">
        <v>146</v>
      </c>
    </row>
    <row r="2438" spans="1:7" hidden="1" x14ac:dyDescent="0.35">
      <c r="A2438" t="s">
        <v>19</v>
      </c>
      <c r="B2438" t="s">
        <v>80</v>
      </c>
      <c r="C2438" t="s">
        <v>58</v>
      </c>
      <c r="D2438">
        <v>2022</v>
      </c>
      <c r="E2438" t="s">
        <v>146</v>
      </c>
      <c r="F2438">
        <v>124</v>
      </c>
      <c r="G2438" t="s">
        <v>146</v>
      </c>
    </row>
    <row r="2439" spans="1:7" hidden="1" x14ac:dyDescent="0.35">
      <c r="A2439" t="s">
        <v>19</v>
      </c>
      <c r="B2439" t="s">
        <v>80</v>
      </c>
      <c r="C2439" t="s">
        <v>58</v>
      </c>
      <c r="D2439">
        <v>2023</v>
      </c>
      <c r="E2439" t="s">
        <v>146</v>
      </c>
      <c r="F2439">
        <v>308</v>
      </c>
      <c r="G2439" t="s">
        <v>146</v>
      </c>
    </row>
    <row r="2440" spans="1:7" hidden="1" x14ac:dyDescent="0.35">
      <c r="A2440" t="s">
        <v>19</v>
      </c>
      <c r="B2440" t="s">
        <v>80</v>
      </c>
      <c r="C2440" t="s">
        <v>58</v>
      </c>
      <c r="D2440">
        <v>2024</v>
      </c>
      <c r="E2440" t="s">
        <v>146</v>
      </c>
      <c r="F2440">
        <v>173</v>
      </c>
      <c r="G2440" t="s">
        <v>146</v>
      </c>
    </row>
    <row r="2441" spans="1:7" hidden="1" x14ac:dyDescent="0.35">
      <c r="A2441" t="s">
        <v>19</v>
      </c>
      <c r="B2441" t="s">
        <v>80</v>
      </c>
      <c r="C2441" t="s">
        <v>58</v>
      </c>
      <c r="D2441">
        <v>2025</v>
      </c>
      <c r="E2441" t="s">
        <v>146</v>
      </c>
      <c r="F2441">
        <v>-607</v>
      </c>
      <c r="G2441" t="s">
        <v>146</v>
      </c>
    </row>
    <row r="2442" spans="1:7" hidden="1" x14ac:dyDescent="0.35">
      <c r="A2442" t="s">
        <v>19</v>
      </c>
      <c r="B2442" t="s">
        <v>80</v>
      </c>
      <c r="C2442" t="s">
        <v>59</v>
      </c>
      <c r="D2442">
        <v>2022</v>
      </c>
      <c r="E2442" t="s">
        <v>146</v>
      </c>
      <c r="F2442">
        <v>1700</v>
      </c>
      <c r="G2442" t="s">
        <v>146</v>
      </c>
    </row>
    <row r="2443" spans="1:7" hidden="1" x14ac:dyDescent="0.35">
      <c r="A2443" t="s">
        <v>19</v>
      </c>
      <c r="B2443" t="s">
        <v>80</v>
      </c>
      <c r="C2443" t="s">
        <v>59</v>
      </c>
      <c r="D2443">
        <v>2023</v>
      </c>
      <c r="E2443" t="s">
        <v>146</v>
      </c>
      <c r="F2443">
        <v>2213</v>
      </c>
      <c r="G2443" t="s">
        <v>146</v>
      </c>
    </row>
    <row r="2444" spans="1:7" hidden="1" x14ac:dyDescent="0.35">
      <c r="A2444" t="s">
        <v>19</v>
      </c>
      <c r="B2444" t="s">
        <v>80</v>
      </c>
      <c r="C2444" t="s">
        <v>59</v>
      </c>
      <c r="D2444">
        <v>2024</v>
      </c>
      <c r="E2444" t="s">
        <v>146</v>
      </c>
      <c r="F2444">
        <v>2246</v>
      </c>
      <c r="G2444" t="s">
        <v>146</v>
      </c>
    </row>
    <row r="2445" spans="1:7" hidden="1" x14ac:dyDescent="0.35">
      <c r="A2445" t="s">
        <v>19</v>
      </c>
      <c r="B2445" t="s">
        <v>80</v>
      </c>
      <c r="C2445" t="s">
        <v>59</v>
      </c>
      <c r="D2445">
        <v>2025</v>
      </c>
      <c r="E2445" t="s">
        <v>146</v>
      </c>
      <c r="F2445">
        <v>3662</v>
      </c>
      <c r="G2445" t="s">
        <v>146</v>
      </c>
    </row>
    <row r="2446" spans="1:7" hidden="1" x14ac:dyDescent="0.35">
      <c r="A2446" t="s">
        <v>100</v>
      </c>
      <c r="B2446" t="s">
        <v>101</v>
      </c>
      <c r="C2446" t="s">
        <v>57</v>
      </c>
      <c r="D2446">
        <v>2025</v>
      </c>
      <c r="E2446" t="s">
        <v>146</v>
      </c>
      <c r="F2446">
        <v>15165</v>
      </c>
      <c r="G2446" t="s">
        <v>146</v>
      </c>
    </row>
    <row r="2447" spans="1:7" hidden="1" x14ac:dyDescent="0.35">
      <c r="A2447" t="s">
        <v>100</v>
      </c>
      <c r="B2447" t="s">
        <v>101</v>
      </c>
      <c r="C2447" t="s">
        <v>58</v>
      </c>
      <c r="D2447">
        <v>2025</v>
      </c>
      <c r="E2447" t="s">
        <v>146</v>
      </c>
      <c r="F2447">
        <v>783</v>
      </c>
      <c r="G2447" t="s">
        <v>146</v>
      </c>
    </row>
    <row r="2448" spans="1:7" hidden="1" x14ac:dyDescent="0.35">
      <c r="A2448" t="s">
        <v>100</v>
      </c>
      <c r="B2448" t="s">
        <v>101</v>
      </c>
      <c r="C2448" t="s">
        <v>59</v>
      </c>
      <c r="D2448">
        <v>2025</v>
      </c>
      <c r="E2448" t="s">
        <v>146</v>
      </c>
      <c r="F2448">
        <v>156</v>
      </c>
      <c r="G2448" t="s">
        <v>146</v>
      </c>
    </row>
    <row r="2449" spans="1:7" hidden="1" x14ac:dyDescent="0.35">
      <c r="A2449" t="s">
        <v>20</v>
      </c>
      <c r="B2449" t="s">
        <v>81</v>
      </c>
      <c r="C2449" t="s">
        <v>57</v>
      </c>
      <c r="D2449">
        <v>2022</v>
      </c>
      <c r="E2449" t="s">
        <v>146</v>
      </c>
      <c r="F2449">
        <v>13947</v>
      </c>
      <c r="G2449" t="s">
        <v>146</v>
      </c>
    </row>
    <row r="2450" spans="1:7" hidden="1" x14ac:dyDescent="0.35">
      <c r="A2450" t="s">
        <v>20</v>
      </c>
      <c r="B2450" t="s">
        <v>81</v>
      </c>
      <c r="C2450" t="s">
        <v>57</v>
      </c>
      <c r="D2450">
        <v>2023</v>
      </c>
      <c r="E2450" t="s">
        <v>146</v>
      </c>
      <c r="F2450">
        <v>15800</v>
      </c>
      <c r="G2450" t="s">
        <v>146</v>
      </c>
    </row>
    <row r="2451" spans="1:7" hidden="1" x14ac:dyDescent="0.35">
      <c r="A2451" t="s">
        <v>20</v>
      </c>
      <c r="B2451" t="s">
        <v>81</v>
      </c>
      <c r="C2451" t="s">
        <v>57</v>
      </c>
      <c r="D2451">
        <v>2024</v>
      </c>
      <c r="E2451" t="s">
        <v>146</v>
      </c>
      <c r="F2451">
        <v>16418</v>
      </c>
      <c r="G2451" t="s">
        <v>146</v>
      </c>
    </row>
    <row r="2452" spans="1:7" hidden="1" x14ac:dyDescent="0.35">
      <c r="A2452" t="s">
        <v>20</v>
      </c>
      <c r="B2452" t="s">
        <v>81</v>
      </c>
      <c r="C2452" t="s">
        <v>57</v>
      </c>
      <c r="D2452">
        <v>2025</v>
      </c>
      <c r="E2452" t="s">
        <v>146</v>
      </c>
      <c r="F2452">
        <v>18534</v>
      </c>
      <c r="G2452" t="s">
        <v>146</v>
      </c>
    </row>
    <row r="2453" spans="1:7" hidden="1" x14ac:dyDescent="0.35">
      <c r="A2453" t="s">
        <v>20</v>
      </c>
      <c r="B2453" t="s">
        <v>81</v>
      </c>
      <c r="C2453" t="s">
        <v>58</v>
      </c>
      <c r="D2453">
        <v>2022</v>
      </c>
      <c r="E2453" t="s">
        <v>146</v>
      </c>
      <c r="F2453">
        <v>1173</v>
      </c>
      <c r="G2453" t="s">
        <v>146</v>
      </c>
    </row>
    <row r="2454" spans="1:7" hidden="1" x14ac:dyDescent="0.35">
      <c r="A2454" t="s">
        <v>20</v>
      </c>
      <c r="B2454" t="s">
        <v>81</v>
      </c>
      <c r="C2454" t="s">
        <v>58</v>
      </c>
      <c r="D2454">
        <v>2023</v>
      </c>
      <c r="E2454" t="s">
        <v>146</v>
      </c>
      <c r="F2454">
        <v>1219</v>
      </c>
      <c r="G2454" t="s">
        <v>146</v>
      </c>
    </row>
    <row r="2455" spans="1:7" hidden="1" x14ac:dyDescent="0.35">
      <c r="A2455" t="s">
        <v>20</v>
      </c>
      <c r="B2455" t="s">
        <v>81</v>
      </c>
      <c r="C2455" t="s">
        <v>58</v>
      </c>
      <c r="D2455">
        <v>2024</v>
      </c>
      <c r="E2455" t="s">
        <v>146</v>
      </c>
      <c r="F2455">
        <v>910</v>
      </c>
      <c r="G2455" t="s">
        <v>146</v>
      </c>
    </row>
    <row r="2456" spans="1:7" hidden="1" x14ac:dyDescent="0.35">
      <c r="A2456" t="s">
        <v>20</v>
      </c>
      <c r="B2456" t="s">
        <v>81</v>
      </c>
      <c r="C2456" t="s">
        <v>58</v>
      </c>
      <c r="D2456">
        <v>2025</v>
      </c>
      <c r="E2456" t="s">
        <v>146</v>
      </c>
      <c r="F2456">
        <v>1206</v>
      </c>
      <c r="G2456" t="s">
        <v>146</v>
      </c>
    </row>
    <row r="2457" spans="1:7" hidden="1" x14ac:dyDescent="0.35">
      <c r="A2457" t="s">
        <v>20</v>
      </c>
      <c r="B2457" t="s">
        <v>81</v>
      </c>
      <c r="C2457" t="s">
        <v>59</v>
      </c>
      <c r="D2457">
        <v>2022</v>
      </c>
      <c r="E2457" t="s">
        <v>146</v>
      </c>
      <c r="F2457">
        <v>108</v>
      </c>
      <c r="G2457" t="s">
        <v>146</v>
      </c>
    </row>
    <row r="2458" spans="1:7" hidden="1" x14ac:dyDescent="0.35">
      <c r="A2458" t="s">
        <v>20</v>
      </c>
      <c r="B2458" t="s">
        <v>81</v>
      </c>
      <c r="C2458" t="s">
        <v>59</v>
      </c>
      <c r="D2458">
        <v>2023</v>
      </c>
      <c r="E2458" t="s">
        <v>146</v>
      </c>
      <c r="F2458">
        <v>59</v>
      </c>
      <c r="G2458" t="s">
        <v>146</v>
      </c>
    </row>
    <row r="2459" spans="1:7" hidden="1" x14ac:dyDescent="0.35">
      <c r="A2459" t="s">
        <v>20</v>
      </c>
      <c r="B2459" t="s">
        <v>81</v>
      </c>
      <c r="C2459" t="s">
        <v>59</v>
      </c>
      <c r="D2459">
        <v>2024</v>
      </c>
      <c r="E2459" t="s">
        <v>146</v>
      </c>
      <c r="F2459">
        <v>110</v>
      </c>
      <c r="G2459" t="s">
        <v>146</v>
      </c>
    </row>
    <row r="2460" spans="1:7" hidden="1" x14ac:dyDescent="0.35">
      <c r="A2460" t="s">
        <v>20</v>
      </c>
      <c r="B2460" t="s">
        <v>81</v>
      </c>
      <c r="C2460" t="s">
        <v>59</v>
      </c>
      <c r="D2460">
        <v>2025</v>
      </c>
      <c r="E2460" t="s">
        <v>146</v>
      </c>
      <c r="F2460">
        <v>0</v>
      </c>
      <c r="G2460" t="s">
        <v>146</v>
      </c>
    </row>
    <row r="2461" spans="1:7" hidden="1" x14ac:dyDescent="0.35">
      <c r="A2461" t="s">
        <v>21</v>
      </c>
      <c r="B2461" t="s">
        <v>82</v>
      </c>
      <c r="C2461" t="s">
        <v>57</v>
      </c>
      <c r="D2461">
        <v>2022</v>
      </c>
      <c r="E2461" t="s">
        <v>146</v>
      </c>
      <c r="F2461">
        <v>13605</v>
      </c>
      <c r="G2461" t="s">
        <v>146</v>
      </c>
    </row>
    <row r="2462" spans="1:7" hidden="1" x14ac:dyDescent="0.35">
      <c r="A2462" t="s">
        <v>21</v>
      </c>
      <c r="B2462" t="s">
        <v>82</v>
      </c>
      <c r="C2462" t="s">
        <v>57</v>
      </c>
      <c r="D2462">
        <v>2023</v>
      </c>
      <c r="E2462" t="s">
        <v>146</v>
      </c>
      <c r="F2462">
        <v>13192</v>
      </c>
      <c r="G2462" t="s">
        <v>146</v>
      </c>
    </row>
    <row r="2463" spans="1:7" hidden="1" x14ac:dyDescent="0.35">
      <c r="A2463" t="s">
        <v>21</v>
      </c>
      <c r="B2463" t="s">
        <v>82</v>
      </c>
      <c r="C2463" t="s">
        <v>57</v>
      </c>
      <c r="D2463">
        <v>2024</v>
      </c>
      <c r="E2463" t="s">
        <v>146</v>
      </c>
      <c r="F2463">
        <v>10878</v>
      </c>
      <c r="G2463" t="s">
        <v>146</v>
      </c>
    </row>
    <row r="2464" spans="1:7" hidden="1" x14ac:dyDescent="0.35">
      <c r="A2464" t="s">
        <v>21</v>
      </c>
      <c r="B2464" t="s">
        <v>82</v>
      </c>
      <c r="C2464" t="s">
        <v>57</v>
      </c>
      <c r="D2464">
        <v>2025</v>
      </c>
      <c r="E2464" t="s">
        <v>146</v>
      </c>
      <c r="F2464">
        <v>15187</v>
      </c>
      <c r="G2464" t="s">
        <v>146</v>
      </c>
    </row>
    <row r="2465" spans="1:7" hidden="1" x14ac:dyDescent="0.35">
      <c r="A2465" t="s">
        <v>21</v>
      </c>
      <c r="B2465" t="s">
        <v>82</v>
      </c>
      <c r="C2465" t="s">
        <v>58</v>
      </c>
      <c r="D2465">
        <v>2022</v>
      </c>
      <c r="E2465" t="s">
        <v>146</v>
      </c>
      <c r="F2465">
        <v>242</v>
      </c>
      <c r="G2465" t="s">
        <v>146</v>
      </c>
    </row>
    <row r="2466" spans="1:7" hidden="1" x14ac:dyDescent="0.35">
      <c r="A2466" t="s">
        <v>21</v>
      </c>
      <c r="B2466" t="s">
        <v>82</v>
      </c>
      <c r="C2466" t="s">
        <v>58</v>
      </c>
      <c r="D2466">
        <v>2023</v>
      </c>
      <c r="E2466" t="s">
        <v>146</v>
      </c>
      <c r="F2466">
        <v>343</v>
      </c>
      <c r="G2466" t="s">
        <v>146</v>
      </c>
    </row>
    <row r="2467" spans="1:7" hidden="1" x14ac:dyDescent="0.35">
      <c r="A2467" t="s">
        <v>21</v>
      </c>
      <c r="B2467" t="s">
        <v>82</v>
      </c>
      <c r="C2467" t="s">
        <v>58</v>
      </c>
      <c r="D2467">
        <v>2024</v>
      </c>
      <c r="E2467" t="s">
        <v>146</v>
      </c>
      <c r="F2467">
        <v>293</v>
      </c>
      <c r="G2467" t="s">
        <v>146</v>
      </c>
    </row>
    <row r="2468" spans="1:7" hidden="1" x14ac:dyDescent="0.35">
      <c r="A2468" t="s">
        <v>21</v>
      </c>
      <c r="B2468" t="s">
        <v>82</v>
      </c>
      <c r="C2468" t="s">
        <v>58</v>
      </c>
      <c r="D2468">
        <v>2025</v>
      </c>
      <c r="E2468" t="s">
        <v>146</v>
      </c>
      <c r="F2468">
        <v>664</v>
      </c>
      <c r="G2468" t="s">
        <v>146</v>
      </c>
    </row>
    <row r="2469" spans="1:7" hidden="1" x14ac:dyDescent="0.35">
      <c r="A2469" t="s">
        <v>21</v>
      </c>
      <c r="B2469" t="s">
        <v>82</v>
      </c>
      <c r="C2469" t="s">
        <v>59</v>
      </c>
      <c r="D2469">
        <v>2022</v>
      </c>
      <c r="E2469" t="s">
        <v>146</v>
      </c>
      <c r="F2469">
        <v>3176</v>
      </c>
      <c r="G2469" t="s">
        <v>146</v>
      </c>
    </row>
    <row r="2470" spans="1:7" hidden="1" x14ac:dyDescent="0.35">
      <c r="A2470" t="s">
        <v>21</v>
      </c>
      <c r="B2470" t="s">
        <v>82</v>
      </c>
      <c r="C2470" t="s">
        <v>59</v>
      </c>
      <c r="D2470">
        <v>2023</v>
      </c>
      <c r="E2470" t="s">
        <v>146</v>
      </c>
      <c r="F2470">
        <v>3789</v>
      </c>
      <c r="G2470" t="s">
        <v>146</v>
      </c>
    </row>
    <row r="2471" spans="1:7" hidden="1" x14ac:dyDescent="0.35">
      <c r="A2471" t="s">
        <v>21</v>
      </c>
      <c r="B2471" t="s">
        <v>82</v>
      </c>
      <c r="C2471" t="s">
        <v>59</v>
      </c>
      <c r="D2471">
        <v>2024</v>
      </c>
      <c r="E2471" t="s">
        <v>146</v>
      </c>
      <c r="F2471">
        <v>3973</v>
      </c>
      <c r="G2471" t="s">
        <v>146</v>
      </c>
    </row>
    <row r="2472" spans="1:7" hidden="1" x14ac:dyDescent="0.35">
      <c r="A2472" t="s">
        <v>21</v>
      </c>
      <c r="B2472" t="s">
        <v>82</v>
      </c>
      <c r="C2472" t="s">
        <v>59</v>
      </c>
      <c r="D2472">
        <v>2025</v>
      </c>
      <c r="E2472" t="s">
        <v>146</v>
      </c>
      <c r="F2472">
        <v>4606</v>
      </c>
      <c r="G2472" t="s">
        <v>146</v>
      </c>
    </row>
    <row r="2473" spans="1:7" hidden="1" x14ac:dyDescent="0.35">
      <c r="A2473" t="s">
        <v>22</v>
      </c>
      <c r="B2473" t="s">
        <v>46</v>
      </c>
      <c r="C2473" t="s">
        <v>57</v>
      </c>
      <c r="D2473">
        <v>2022</v>
      </c>
      <c r="E2473" t="s">
        <v>146</v>
      </c>
      <c r="F2473">
        <v>9510</v>
      </c>
      <c r="G2473" t="s">
        <v>146</v>
      </c>
    </row>
    <row r="2474" spans="1:7" hidden="1" x14ac:dyDescent="0.35">
      <c r="A2474" t="s">
        <v>22</v>
      </c>
      <c r="B2474" t="s">
        <v>46</v>
      </c>
      <c r="C2474" t="s">
        <v>57</v>
      </c>
      <c r="D2474">
        <v>2023</v>
      </c>
      <c r="E2474" t="s">
        <v>146</v>
      </c>
      <c r="F2474">
        <v>8257</v>
      </c>
      <c r="G2474" t="s">
        <v>146</v>
      </c>
    </row>
    <row r="2475" spans="1:7" hidden="1" x14ac:dyDescent="0.35">
      <c r="A2475" t="s">
        <v>22</v>
      </c>
      <c r="B2475" t="s">
        <v>46</v>
      </c>
      <c r="C2475" t="s">
        <v>57</v>
      </c>
      <c r="D2475">
        <v>2024</v>
      </c>
      <c r="E2475" t="s">
        <v>146</v>
      </c>
      <c r="F2475">
        <v>8773</v>
      </c>
      <c r="G2475" t="s">
        <v>146</v>
      </c>
    </row>
    <row r="2476" spans="1:7" hidden="1" x14ac:dyDescent="0.35">
      <c r="A2476" t="s">
        <v>22</v>
      </c>
      <c r="B2476" t="s">
        <v>46</v>
      </c>
      <c r="C2476" t="s">
        <v>57</v>
      </c>
      <c r="D2476">
        <v>2025</v>
      </c>
      <c r="E2476" t="s">
        <v>146</v>
      </c>
      <c r="F2476">
        <v>7916</v>
      </c>
      <c r="G2476" t="s">
        <v>146</v>
      </c>
    </row>
    <row r="2477" spans="1:7" hidden="1" x14ac:dyDescent="0.35">
      <c r="A2477" t="s">
        <v>22</v>
      </c>
      <c r="B2477" t="s">
        <v>46</v>
      </c>
      <c r="C2477" t="s">
        <v>58</v>
      </c>
      <c r="D2477">
        <v>2022</v>
      </c>
      <c r="E2477" t="s">
        <v>146</v>
      </c>
      <c r="F2477">
        <v>497</v>
      </c>
      <c r="G2477" t="s">
        <v>146</v>
      </c>
    </row>
    <row r="2478" spans="1:7" hidden="1" x14ac:dyDescent="0.35">
      <c r="A2478" t="s">
        <v>22</v>
      </c>
      <c r="B2478" t="s">
        <v>46</v>
      </c>
      <c r="C2478" t="s">
        <v>58</v>
      </c>
      <c r="D2478">
        <v>2023</v>
      </c>
      <c r="E2478" t="s">
        <v>146</v>
      </c>
      <c r="F2478">
        <v>356</v>
      </c>
      <c r="G2478" t="s">
        <v>146</v>
      </c>
    </row>
    <row r="2479" spans="1:7" hidden="1" x14ac:dyDescent="0.35">
      <c r="A2479" t="s">
        <v>22</v>
      </c>
      <c r="B2479" t="s">
        <v>46</v>
      </c>
      <c r="C2479" t="s">
        <v>58</v>
      </c>
      <c r="D2479">
        <v>2024</v>
      </c>
      <c r="E2479" t="s">
        <v>146</v>
      </c>
      <c r="F2479">
        <v>534</v>
      </c>
      <c r="G2479" t="s">
        <v>146</v>
      </c>
    </row>
    <row r="2480" spans="1:7" hidden="1" x14ac:dyDescent="0.35">
      <c r="A2480" t="s">
        <v>22</v>
      </c>
      <c r="B2480" t="s">
        <v>46</v>
      </c>
      <c r="C2480" t="s">
        <v>58</v>
      </c>
      <c r="D2480">
        <v>2025</v>
      </c>
      <c r="E2480" t="s">
        <v>146</v>
      </c>
      <c r="F2480">
        <v>2554</v>
      </c>
      <c r="G2480" t="s">
        <v>146</v>
      </c>
    </row>
    <row r="2481" spans="1:7" hidden="1" x14ac:dyDescent="0.35">
      <c r="A2481" t="s">
        <v>22</v>
      </c>
      <c r="B2481" t="s">
        <v>46</v>
      </c>
      <c r="C2481" t="s">
        <v>59</v>
      </c>
      <c r="D2481">
        <v>2022</v>
      </c>
      <c r="E2481" t="s">
        <v>146</v>
      </c>
      <c r="F2481">
        <v>0</v>
      </c>
      <c r="G2481" t="s">
        <v>146</v>
      </c>
    </row>
    <row r="2482" spans="1:7" hidden="1" x14ac:dyDescent="0.35">
      <c r="A2482" t="s">
        <v>22</v>
      </c>
      <c r="B2482" t="s">
        <v>46</v>
      </c>
      <c r="C2482" t="s">
        <v>59</v>
      </c>
      <c r="D2482">
        <v>2023</v>
      </c>
      <c r="E2482" t="s">
        <v>146</v>
      </c>
      <c r="F2482">
        <v>0</v>
      </c>
      <c r="G2482" t="s">
        <v>146</v>
      </c>
    </row>
    <row r="2483" spans="1:7" hidden="1" x14ac:dyDescent="0.35">
      <c r="A2483" t="s">
        <v>22</v>
      </c>
      <c r="B2483" t="s">
        <v>46</v>
      </c>
      <c r="C2483" t="s">
        <v>59</v>
      </c>
      <c r="D2483">
        <v>2024</v>
      </c>
      <c r="E2483" t="s">
        <v>146</v>
      </c>
      <c r="F2483">
        <v>0</v>
      </c>
      <c r="G2483" t="s">
        <v>146</v>
      </c>
    </row>
    <row r="2484" spans="1:7" hidden="1" x14ac:dyDescent="0.35">
      <c r="A2484" t="s">
        <v>22</v>
      </c>
      <c r="B2484" t="s">
        <v>46</v>
      </c>
      <c r="C2484" t="s">
        <v>59</v>
      </c>
      <c r="D2484">
        <v>2025</v>
      </c>
      <c r="E2484" t="s">
        <v>146</v>
      </c>
      <c r="F2484">
        <v>0</v>
      </c>
      <c r="G2484" t="s">
        <v>146</v>
      </c>
    </row>
    <row r="2485" spans="1:7" hidden="1" x14ac:dyDescent="0.35">
      <c r="A2485" t="s">
        <v>23</v>
      </c>
      <c r="B2485" t="s">
        <v>83</v>
      </c>
      <c r="C2485" t="s">
        <v>57</v>
      </c>
      <c r="D2485">
        <v>2022</v>
      </c>
      <c r="E2485" t="s">
        <v>146</v>
      </c>
      <c r="F2485">
        <v>19718</v>
      </c>
      <c r="G2485" t="s">
        <v>146</v>
      </c>
    </row>
    <row r="2486" spans="1:7" hidden="1" x14ac:dyDescent="0.35">
      <c r="A2486" t="s">
        <v>23</v>
      </c>
      <c r="B2486" t="s">
        <v>83</v>
      </c>
      <c r="C2486" t="s">
        <v>57</v>
      </c>
      <c r="D2486">
        <v>2023</v>
      </c>
      <c r="E2486" t="s">
        <v>146</v>
      </c>
      <c r="F2486">
        <v>16933</v>
      </c>
      <c r="G2486" t="s">
        <v>146</v>
      </c>
    </row>
    <row r="2487" spans="1:7" hidden="1" x14ac:dyDescent="0.35">
      <c r="A2487" t="s">
        <v>23</v>
      </c>
      <c r="B2487" t="s">
        <v>83</v>
      </c>
      <c r="C2487" t="s">
        <v>57</v>
      </c>
      <c r="D2487">
        <v>2024</v>
      </c>
      <c r="E2487" t="s">
        <v>146</v>
      </c>
      <c r="F2487">
        <v>16751</v>
      </c>
      <c r="G2487" t="s">
        <v>146</v>
      </c>
    </row>
    <row r="2488" spans="1:7" hidden="1" x14ac:dyDescent="0.35">
      <c r="A2488" t="s">
        <v>23</v>
      </c>
      <c r="B2488" t="s">
        <v>83</v>
      </c>
      <c r="C2488" t="s">
        <v>57</v>
      </c>
      <c r="D2488">
        <v>2025</v>
      </c>
      <c r="E2488" t="s">
        <v>146</v>
      </c>
      <c r="F2488">
        <v>12802</v>
      </c>
      <c r="G2488" t="s">
        <v>146</v>
      </c>
    </row>
    <row r="2489" spans="1:7" hidden="1" x14ac:dyDescent="0.35">
      <c r="A2489" t="s">
        <v>23</v>
      </c>
      <c r="B2489" t="s">
        <v>83</v>
      </c>
      <c r="C2489" t="s">
        <v>59</v>
      </c>
      <c r="D2489">
        <v>2022</v>
      </c>
      <c r="E2489" t="s">
        <v>146</v>
      </c>
      <c r="F2489">
        <v>123</v>
      </c>
      <c r="G2489" t="s">
        <v>146</v>
      </c>
    </row>
    <row r="2490" spans="1:7" hidden="1" x14ac:dyDescent="0.35">
      <c r="A2490" t="s">
        <v>23</v>
      </c>
      <c r="B2490" t="s">
        <v>83</v>
      </c>
      <c r="C2490" t="s">
        <v>59</v>
      </c>
      <c r="D2490">
        <v>2023</v>
      </c>
      <c r="E2490" t="s">
        <v>146</v>
      </c>
      <c r="F2490">
        <v>214</v>
      </c>
      <c r="G2490" t="s">
        <v>146</v>
      </c>
    </row>
    <row r="2491" spans="1:7" hidden="1" x14ac:dyDescent="0.35">
      <c r="A2491" t="s">
        <v>23</v>
      </c>
      <c r="B2491" t="s">
        <v>83</v>
      </c>
      <c r="C2491" t="s">
        <v>59</v>
      </c>
      <c r="D2491">
        <v>2024</v>
      </c>
      <c r="E2491" t="s">
        <v>146</v>
      </c>
      <c r="F2491">
        <v>129</v>
      </c>
      <c r="G2491" t="s">
        <v>146</v>
      </c>
    </row>
    <row r="2492" spans="1:7" hidden="1" x14ac:dyDescent="0.35">
      <c r="A2492" t="s">
        <v>23</v>
      </c>
      <c r="B2492" t="s">
        <v>83</v>
      </c>
      <c r="C2492" t="s">
        <v>59</v>
      </c>
      <c r="D2492">
        <v>2025</v>
      </c>
      <c r="E2492" t="s">
        <v>146</v>
      </c>
      <c r="F2492">
        <v>40</v>
      </c>
      <c r="G2492" t="s">
        <v>146</v>
      </c>
    </row>
    <row r="2493" spans="1:7" hidden="1" x14ac:dyDescent="0.35">
      <c r="A2493" t="s">
        <v>24</v>
      </c>
      <c r="B2493" t="s">
        <v>84</v>
      </c>
      <c r="C2493" t="s">
        <v>57</v>
      </c>
      <c r="D2493">
        <v>2022</v>
      </c>
      <c r="E2493" t="s">
        <v>146</v>
      </c>
      <c r="F2493">
        <v>2792</v>
      </c>
      <c r="G2493" t="s">
        <v>146</v>
      </c>
    </row>
    <row r="2494" spans="1:7" hidden="1" x14ac:dyDescent="0.35">
      <c r="A2494" t="s">
        <v>24</v>
      </c>
      <c r="B2494" t="s">
        <v>84</v>
      </c>
      <c r="C2494" t="s">
        <v>57</v>
      </c>
      <c r="D2494">
        <v>2023</v>
      </c>
      <c r="E2494" t="s">
        <v>146</v>
      </c>
      <c r="F2494">
        <v>3123</v>
      </c>
      <c r="G2494" t="s">
        <v>146</v>
      </c>
    </row>
    <row r="2495" spans="1:7" hidden="1" x14ac:dyDescent="0.35">
      <c r="A2495" t="s">
        <v>24</v>
      </c>
      <c r="B2495" t="s">
        <v>84</v>
      </c>
      <c r="C2495" t="s">
        <v>57</v>
      </c>
      <c r="D2495">
        <v>2024</v>
      </c>
      <c r="E2495" t="s">
        <v>146</v>
      </c>
      <c r="F2495">
        <v>3117</v>
      </c>
      <c r="G2495" t="s">
        <v>146</v>
      </c>
    </row>
    <row r="2496" spans="1:7" hidden="1" x14ac:dyDescent="0.35">
      <c r="A2496" t="s">
        <v>24</v>
      </c>
      <c r="B2496" t="s">
        <v>84</v>
      </c>
      <c r="C2496" t="s">
        <v>57</v>
      </c>
      <c r="D2496">
        <v>2025</v>
      </c>
      <c r="E2496" t="s">
        <v>146</v>
      </c>
      <c r="F2496">
        <v>1334</v>
      </c>
      <c r="G2496" t="s">
        <v>146</v>
      </c>
    </row>
    <row r="2497" spans="1:7" hidden="1" x14ac:dyDescent="0.35">
      <c r="A2497" t="s">
        <v>24</v>
      </c>
      <c r="B2497" t="s">
        <v>84</v>
      </c>
      <c r="C2497" t="s">
        <v>58</v>
      </c>
      <c r="D2497">
        <v>2022</v>
      </c>
      <c r="E2497" t="s">
        <v>146</v>
      </c>
      <c r="F2497">
        <v>59</v>
      </c>
      <c r="G2497" t="s">
        <v>146</v>
      </c>
    </row>
    <row r="2498" spans="1:7" hidden="1" x14ac:dyDescent="0.35">
      <c r="A2498" t="s">
        <v>24</v>
      </c>
      <c r="B2498" t="s">
        <v>84</v>
      </c>
      <c r="C2498" t="s">
        <v>58</v>
      </c>
      <c r="D2498">
        <v>2023</v>
      </c>
      <c r="E2498" t="s">
        <v>146</v>
      </c>
      <c r="F2498">
        <v>89</v>
      </c>
      <c r="G2498" t="s">
        <v>146</v>
      </c>
    </row>
    <row r="2499" spans="1:7" hidden="1" x14ac:dyDescent="0.35">
      <c r="A2499" t="s">
        <v>24</v>
      </c>
      <c r="B2499" t="s">
        <v>84</v>
      </c>
      <c r="C2499" t="s">
        <v>58</v>
      </c>
      <c r="D2499">
        <v>2024</v>
      </c>
      <c r="E2499" t="s">
        <v>146</v>
      </c>
      <c r="F2499">
        <v>90</v>
      </c>
      <c r="G2499" t="s">
        <v>146</v>
      </c>
    </row>
    <row r="2500" spans="1:7" hidden="1" x14ac:dyDescent="0.35">
      <c r="A2500" t="s">
        <v>24</v>
      </c>
      <c r="B2500" t="s">
        <v>84</v>
      </c>
      <c r="C2500" t="s">
        <v>58</v>
      </c>
      <c r="D2500">
        <v>2025</v>
      </c>
      <c r="E2500" t="s">
        <v>146</v>
      </c>
      <c r="F2500">
        <v>4370</v>
      </c>
      <c r="G2500" t="s">
        <v>146</v>
      </c>
    </row>
    <row r="2501" spans="1:7" hidden="1" x14ac:dyDescent="0.35">
      <c r="A2501" t="s">
        <v>24</v>
      </c>
      <c r="B2501" t="s">
        <v>84</v>
      </c>
      <c r="C2501" t="s">
        <v>59</v>
      </c>
      <c r="D2501">
        <v>2022</v>
      </c>
      <c r="E2501" t="s">
        <v>146</v>
      </c>
      <c r="F2501">
        <v>145</v>
      </c>
      <c r="G2501" t="s">
        <v>146</v>
      </c>
    </row>
    <row r="2502" spans="1:7" hidden="1" x14ac:dyDescent="0.35">
      <c r="A2502" t="s">
        <v>24</v>
      </c>
      <c r="B2502" t="s">
        <v>84</v>
      </c>
      <c r="C2502" t="s">
        <v>59</v>
      </c>
      <c r="D2502">
        <v>2023</v>
      </c>
      <c r="E2502" t="s">
        <v>146</v>
      </c>
      <c r="F2502">
        <v>124</v>
      </c>
      <c r="G2502" t="s">
        <v>146</v>
      </c>
    </row>
    <row r="2503" spans="1:7" hidden="1" x14ac:dyDescent="0.35">
      <c r="A2503" t="s">
        <v>24</v>
      </c>
      <c r="B2503" t="s">
        <v>84</v>
      </c>
      <c r="C2503" t="s">
        <v>59</v>
      </c>
      <c r="D2503">
        <v>2024</v>
      </c>
      <c r="E2503" t="s">
        <v>146</v>
      </c>
      <c r="F2503">
        <v>148</v>
      </c>
      <c r="G2503" t="s">
        <v>146</v>
      </c>
    </row>
    <row r="2504" spans="1:7" hidden="1" x14ac:dyDescent="0.35">
      <c r="A2504" t="s">
        <v>24</v>
      </c>
      <c r="B2504" t="s">
        <v>84</v>
      </c>
      <c r="C2504" t="s">
        <v>59</v>
      </c>
      <c r="D2504">
        <v>2025</v>
      </c>
      <c r="E2504" t="s">
        <v>146</v>
      </c>
      <c r="F2504">
        <v>172</v>
      </c>
      <c r="G2504" t="s">
        <v>146</v>
      </c>
    </row>
    <row r="2505" spans="1:7" hidden="1" x14ac:dyDescent="0.35">
      <c r="A2505" t="s">
        <v>25</v>
      </c>
      <c r="B2505" t="s">
        <v>85</v>
      </c>
      <c r="C2505" t="s">
        <v>57</v>
      </c>
      <c r="D2505">
        <v>2022</v>
      </c>
      <c r="E2505" t="s">
        <v>146</v>
      </c>
      <c r="F2505">
        <v>1036</v>
      </c>
      <c r="G2505" t="s">
        <v>146</v>
      </c>
    </row>
    <row r="2506" spans="1:7" hidden="1" x14ac:dyDescent="0.35">
      <c r="A2506" t="s">
        <v>25</v>
      </c>
      <c r="B2506" t="s">
        <v>85</v>
      </c>
      <c r="C2506" t="s">
        <v>57</v>
      </c>
      <c r="D2506">
        <v>2023</v>
      </c>
      <c r="E2506" t="s">
        <v>146</v>
      </c>
      <c r="F2506">
        <v>1174</v>
      </c>
      <c r="G2506" t="s">
        <v>146</v>
      </c>
    </row>
    <row r="2507" spans="1:7" hidden="1" x14ac:dyDescent="0.35">
      <c r="A2507" t="s">
        <v>25</v>
      </c>
      <c r="B2507" t="s">
        <v>85</v>
      </c>
      <c r="C2507" t="s">
        <v>57</v>
      </c>
      <c r="D2507">
        <v>2024</v>
      </c>
      <c r="E2507" t="s">
        <v>146</v>
      </c>
      <c r="F2507">
        <v>1264</v>
      </c>
      <c r="G2507" t="s">
        <v>146</v>
      </c>
    </row>
    <row r="2508" spans="1:7" hidden="1" x14ac:dyDescent="0.35">
      <c r="A2508" t="s">
        <v>25</v>
      </c>
      <c r="B2508" t="s">
        <v>85</v>
      </c>
      <c r="C2508" t="s">
        <v>57</v>
      </c>
      <c r="D2508">
        <v>2025</v>
      </c>
      <c r="E2508" t="s">
        <v>146</v>
      </c>
      <c r="F2508">
        <v>8235</v>
      </c>
      <c r="G2508" t="s">
        <v>146</v>
      </c>
    </row>
    <row r="2509" spans="1:7" hidden="1" x14ac:dyDescent="0.35">
      <c r="A2509" t="s">
        <v>25</v>
      </c>
      <c r="B2509" t="s">
        <v>85</v>
      </c>
      <c r="C2509" t="s">
        <v>58</v>
      </c>
      <c r="D2509">
        <v>2022</v>
      </c>
      <c r="E2509" t="s">
        <v>146</v>
      </c>
      <c r="F2509">
        <v>93</v>
      </c>
      <c r="G2509" t="s">
        <v>146</v>
      </c>
    </row>
    <row r="2510" spans="1:7" hidden="1" x14ac:dyDescent="0.35">
      <c r="A2510" t="s">
        <v>25</v>
      </c>
      <c r="B2510" t="s">
        <v>85</v>
      </c>
      <c r="C2510" t="s">
        <v>58</v>
      </c>
      <c r="D2510">
        <v>2023</v>
      </c>
      <c r="E2510" t="s">
        <v>146</v>
      </c>
      <c r="F2510">
        <v>168</v>
      </c>
      <c r="G2510" t="s">
        <v>146</v>
      </c>
    </row>
    <row r="2511" spans="1:7" hidden="1" x14ac:dyDescent="0.35">
      <c r="A2511" t="s">
        <v>25</v>
      </c>
      <c r="B2511" t="s">
        <v>85</v>
      </c>
      <c r="C2511" t="s">
        <v>58</v>
      </c>
      <c r="D2511">
        <v>2024</v>
      </c>
      <c r="E2511" t="s">
        <v>146</v>
      </c>
      <c r="F2511">
        <v>134</v>
      </c>
      <c r="G2511" t="s">
        <v>146</v>
      </c>
    </row>
    <row r="2512" spans="1:7" hidden="1" x14ac:dyDescent="0.35">
      <c r="A2512" t="s">
        <v>25</v>
      </c>
      <c r="B2512" t="s">
        <v>85</v>
      </c>
      <c r="C2512" t="s">
        <v>58</v>
      </c>
      <c r="D2512">
        <v>2025</v>
      </c>
      <c r="E2512" t="s">
        <v>146</v>
      </c>
      <c r="F2512">
        <v>-291</v>
      </c>
      <c r="G2512" t="s">
        <v>146</v>
      </c>
    </row>
    <row r="2513" spans="1:7" hidden="1" x14ac:dyDescent="0.35">
      <c r="A2513" t="s">
        <v>25</v>
      </c>
      <c r="B2513" t="s">
        <v>85</v>
      </c>
      <c r="C2513" t="s">
        <v>59</v>
      </c>
      <c r="D2513">
        <v>2022</v>
      </c>
      <c r="E2513" t="s">
        <v>146</v>
      </c>
      <c r="F2513">
        <v>68</v>
      </c>
      <c r="G2513" t="s">
        <v>146</v>
      </c>
    </row>
    <row r="2514" spans="1:7" hidden="1" x14ac:dyDescent="0.35">
      <c r="A2514" t="s">
        <v>25</v>
      </c>
      <c r="B2514" t="s">
        <v>85</v>
      </c>
      <c r="C2514" t="s">
        <v>59</v>
      </c>
      <c r="D2514">
        <v>2023</v>
      </c>
      <c r="E2514" t="s">
        <v>146</v>
      </c>
      <c r="F2514">
        <v>79</v>
      </c>
      <c r="G2514" t="s">
        <v>146</v>
      </c>
    </row>
    <row r="2515" spans="1:7" hidden="1" x14ac:dyDescent="0.35">
      <c r="A2515" t="s">
        <v>25</v>
      </c>
      <c r="B2515" t="s">
        <v>85</v>
      </c>
      <c r="C2515" t="s">
        <v>59</v>
      </c>
      <c r="D2515">
        <v>2024</v>
      </c>
      <c r="E2515" t="s">
        <v>146</v>
      </c>
      <c r="F2515">
        <v>78</v>
      </c>
      <c r="G2515" t="s">
        <v>146</v>
      </c>
    </row>
    <row r="2516" spans="1:7" hidden="1" x14ac:dyDescent="0.35">
      <c r="A2516" t="s">
        <v>25</v>
      </c>
      <c r="B2516" t="s">
        <v>85</v>
      </c>
      <c r="C2516" t="s">
        <v>59</v>
      </c>
      <c r="D2516">
        <v>2025</v>
      </c>
      <c r="E2516" t="s">
        <v>146</v>
      </c>
      <c r="F2516">
        <v>104</v>
      </c>
      <c r="G2516" t="s">
        <v>146</v>
      </c>
    </row>
    <row r="2517" spans="1:7" hidden="1" x14ac:dyDescent="0.35">
      <c r="A2517" t="s">
        <v>26</v>
      </c>
      <c r="B2517" t="s">
        <v>86</v>
      </c>
      <c r="C2517" t="s">
        <v>57</v>
      </c>
      <c r="D2517">
        <v>2023</v>
      </c>
      <c r="E2517" t="s">
        <v>146</v>
      </c>
      <c r="F2517">
        <v>577</v>
      </c>
      <c r="G2517" t="s">
        <v>146</v>
      </c>
    </row>
    <row r="2518" spans="1:7" hidden="1" x14ac:dyDescent="0.35">
      <c r="A2518" t="s">
        <v>26</v>
      </c>
      <c r="B2518" t="s">
        <v>86</v>
      </c>
      <c r="C2518" t="s">
        <v>57</v>
      </c>
      <c r="D2518">
        <v>2024</v>
      </c>
      <c r="E2518" t="s">
        <v>146</v>
      </c>
      <c r="F2518">
        <v>2327</v>
      </c>
      <c r="G2518" t="s">
        <v>146</v>
      </c>
    </row>
    <row r="2519" spans="1:7" hidden="1" x14ac:dyDescent="0.35">
      <c r="A2519" t="s">
        <v>26</v>
      </c>
      <c r="B2519" t="s">
        <v>86</v>
      </c>
      <c r="C2519" t="s">
        <v>57</v>
      </c>
      <c r="D2519">
        <v>2025</v>
      </c>
      <c r="E2519" t="s">
        <v>146</v>
      </c>
      <c r="F2519">
        <v>1388</v>
      </c>
      <c r="G2519" t="s">
        <v>146</v>
      </c>
    </row>
    <row r="2520" spans="1:7" hidden="1" x14ac:dyDescent="0.35">
      <c r="A2520" t="s">
        <v>26</v>
      </c>
      <c r="B2520" t="s">
        <v>86</v>
      </c>
      <c r="C2520" t="s">
        <v>58</v>
      </c>
      <c r="D2520">
        <v>2023</v>
      </c>
      <c r="E2520" t="s">
        <v>146</v>
      </c>
      <c r="F2520">
        <v>24</v>
      </c>
      <c r="G2520" t="s">
        <v>146</v>
      </c>
    </row>
    <row r="2521" spans="1:7" hidden="1" x14ac:dyDescent="0.35">
      <c r="A2521" t="s">
        <v>26</v>
      </c>
      <c r="B2521" t="s">
        <v>86</v>
      </c>
      <c r="C2521" t="s">
        <v>58</v>
      </c>
      <c r="D2521">
        <v>2024</v>
      </c>
      <c r="E2521" t="s">
        <v>146</v>
      </c>
      <c r="F2521">
        <v>108</v>
      </c>
      <c r="G2521" t="s">
        <v>146</v>
      </c>
    </row>
    <row r="2522" spans="1:7" hidden="1" x14ac:dyDescent="0.35">
      <c r="A2522" t="s">
        <v>26</v>
      </c>
      <c r="B2522" t="s">
        <v>86</v>
      </c>
      <c r="C2522" t="s">
        <v>58</v>
      </c>
      <c r="D2522">
        <v>2025</v>
      </c>
      <c r="E2522" t="s">
        <v>146</v>
      </c>
      <c r="F2522">
        <v>22</v>
      </c>
      <c r="G2522" t="s">
        <v>146</v>
      </c>
    </row>
    <row r="2523" spans="1:7" hidden="1" x14ac:dyDescent="0.35">
      <c r="A2523" t="s">
        <v>26</v>
      </c>
      <c r="B2523" t="s">
        <v>86</v>
      </c>
      <c r="C2523" t="s">
        <v>59</v>
      </c>
      <c r="D2523">
        <v>2023</v>
      </c>
      <c r="E2523" t="s">
        <v>146</v>
      </c>
      <c r="F2523">
        <v>1063</v>
      </c>
      <c r="G2523" t="s">
        <v>146</v>
      </c>
    </row>
    <row r="2524" spans="1:7" hidden="1" x14ac:dyDescent="0.35">
      <c r="A2524" t="s">
        <v>26</v>
      </c>
      <c r="B2524" t="s">
        <v>86</v>
      </c>
      <c r="C2524" t="s">
        <v>59</v>
      </c>
      <c r="D2524">
        <v>2024</v>
      </c>
      <c r="E2524" t="s">
        <v>146</v>
      </c>
      <c r="F2524">
        <v>0</v>
      </c>
      <c r="G2524" t="s">
        <v>146</v>
      </c>
    </row>
    <row r="2525" spans="1:7" hidden="1" x14ac:dyDescent="0.35">
      <c r="A2525" t="s">
        <v>26</v>
      </c>
      <c r="B2525" t="s">
        <v>86</v>
      </c>
      <c r="C2525" t="s">
        <v>59</v>
      </c>
      <c r="D2525">
        <v>2025</v>
      </c>
      <c r="E2525" t="s">
        <v>146</v>
      </c>
      <c r="F2525">
        <v>1012</v>
      </c>
      <c r="G2525" t="s">
        <v>146</v>
      </c>
    </row>
    <row r="2526" spans="1:7" hidden="1" x14ac:dyDescent="0.35">
      <c r="A2526" t="s">
        <v>27</v>
      </c>
      <c r="B2526" t="s">
        <v>87</v>
      </c>
      <c r="C2526" t="s">
        <v>57</v>
      </c>
      <c r="D2526">
        <v>2022</v>
      </c>
      <c r="E2526" t="s">
        <v>146</v>
      </c>
      <c r="F2526">
        <v>3948</v>
      </c>
      <c r="G2526" t="s">
        <v>146</v>
      </c>
    </row>
    <row r="2527" spans="1:7" hidden="1" x14ac:dyDescent="0.35">
      <c r="A2527" t="s">
        <v>27</v>
      </c>
      <c r="B2527" t="s">
        <v>87</v>
      </c>
      <c r="C2527" t="s">
        <v>57</v>
      </c>
      <c r="D2527">
        <v>2023</v>
      </c>
      <c r="E2527" t="s">
        <v>146</v>
      </c>
      <c r="F2527">
        <v>4321</v>
      </c>
      <c r="G2527" t="s">
        <v>146</v>
      </c>
    </row>
    <row r="2528" spans="1:7" hidden="1" x14ac:dyDescent="0.35">
      <c r="A2528" t="s">
        <v>27</v>
      </c>
      <c r="B2528" t="s">
        <v>87</v>
      </c>
      <c r="C2528" t="s">
        <v>57</v>
      </c>
      <c r="D2528">
        <v>2024</v>
      </c>
      <c r="E2528" t="s">
        <v>146</v>
      </c>
      <c r="F2528">
        <v>5008</v>
      </c>
      <c r="G2528" t="s">
        <v>146</v>
      </c>
    </row>
    <row r="2529" spans="1:7" hidden="1" x14ac:dyDescent="0.35">
      <c r="A2529" t="s">
        <v>27</v>
      </c>
      <c r="B2529" t="s">
        <v>87</v>
      </c>
      <c r="C2529" t="s">
        <v>57</v>
      </c>
      <c r="D2529">
        <v>2025</v>
      </c>
      <c r="E2529" t="s">
        <v>146</v>
      </c>
      <c r="F2529">
        <v>5809</v>
      </c>
      <c r="G2529" t="s">
        <v>146</v>
      </c>
    </row>
    <row r="2530" spans="1:7" hidden="1" x14ac:dyDescent="0.35">
      <c r="A2530" t="s">
        <v>27</v>
      </c>
      <c r="B2530" t="s">
        <v>87</v>
      </c>
      <c r="C2530" t="s">
        <v>58</v>
      </c>
      <c r="D2530">
        <v>2022</v>
      </c>
      <c r="E2530" t="s">
        <v>146</v>
      </c>
      <c r="F2530">
        <v>477</v>
      </c>
      <c r="G2530" t="s">
        <v>146</v>
      </c>
    </row>
    <row r="2531" spans="1:7" hidden="1" x14ac:dyDescent="0.35">
      <c r="A2531" t="s">
        <v>27</v>
      </c>
      <c r="B2531" t="s">
        <v>87</v>
      </c>
      <c r="C2531" t="s">
        <v>58</v>
      </c>
      <c r="D2531">
        <v>2023</v>
      </c>
      <c r="E2531" t="s">
        <v>146</v>
      </c>
      <c r="F2531">
        <v>530</v>
      </c>
      <c r="G2531" t="s">
        <v>146</v>
      </c>
    </row>
    <row r="2532" spans="1:7" hidden="1" x14ac:dyDescent="0.35">
      <c r="A2532" t="s">
        <v>27</v>
      </c>
      <c r="B2532" t="s">
        <v>87</v>
      </c>
      <c r="C2532" t="s">
        <v>58</v>
      </c>
      <c r="D2532">
        <v>2024</v>
      </c>
      <c r="E2532" t="s">
        <v>146</v>
      </c>
      <c r="F2532">
        <v>715</v>
      </c>
      <c r="G2532" t="s">
        <v>146</v>
      </c>
    </row>
    <row r="2533" spans="1:7" hidden="1" x14ac:dyDescent="0.35">
      <c r="A2533" t="s">
        <v>27</v>
      </c>
      <c r="B2533" t="s">
        <v>87</v>
      </c>
      <c r="C2533" t="s">
        <v>58</v>
      </c>
      <c r="D2533">
        <v>2025</v>
      </c>
      <c r="E2533" t="s">
        <v>146</v>
      </c>
      <c r="F2533">
        <v>2415</v>
      </c>
      <c r="G2533" t="s">
        <v>146</v>
      </c>
    </row>
    <row r="2534" spans="1:7" hidden="1" x14ac:dyDescent="0.35">
      <c r="A2534" t="s">
        <v>27</v>
      </c>
      <c r="B2534" t="s">
        <v>87</v>
      </c>
      <c r="C2534" t="s">
        <v>59</v>
      </c>
      <c r="D2534">
        <v>2022</v>
      </c>
      <c r="E2534" t="s">
        <v>146</v>
      </c>
      <c r="F2534">
        <v>314</v>
      </c>
      <c r="G2534" t="s">
        <v>146</v>
      </c>
    </row>
    <row r="2535" spans="1:7" hidden="1" x14ac:dyDescent="0.35">
      <c r="A2535" t="s">
        <v>27</v>
      </c>
      <c r="B2535" t="s">
        <v>87</v>
      </c>
      <c r="C2535" t="s">
        <v>59</v>
      </c>
      <c r="D2535">
        <v>2023</v>
      </c>
      <c r="E2535" t="s">
        <v>146</v>
      </c>
      <c r="F2535">
        <v>295</v>
      </c>
      <c r="G2535" t="s">
        <v>146</v>
      </c>
    </row>
    <row r="2536" spans="1:7" hidden="1" x14ac:dyDescent="0.35">
      <c r="A2536" t="s">
        <v>27</v>
      </c>
      <c r="B2536" t="s">
        <v>87</v>
      </c>
      <c r="C2536" t="s">
        <v>59</v>
      </c>
      <c r="D2536">
        <v>2024</v>
      </c>
      <c r="E2536" t="s">
        <v>146</v>
      </c>
      <c r="F2536">
        <v>349</v>
      </c>
      <c r="G2536" t="s">
        <v>146</v>
      </c>
    </row>
    <row r="2537" spans="1:7" hidden="1" x14ac:dyDescent="0.35">
      <c r="A2537" t="s">
        <v>27</v>
      </c>
      <c r="B2537" t="s">
        <v>87</v>
      </c>
      <c r="C2537" t="s">
        <v>59</v>
      </c>
      <c r="D2537">
        <v>2025</v>
      </c>
      <c r="E2537" t="s">
        <v>146</v>
      </c>
      <c r="F2537">
        <v>486</v>
      </c>
      <c r="G2537" t="s">
        <v>146</v>
      </c>
    </row>
    <row r="2538" spans="1:7" hidden="1" x14ac:dyDescent="0.35">
      <c r="A2538" t="s">
        <v>28</v>
      </c>
      <c r="B2538" t="s">
        <v>28</v>
      </c>
      <c r="C2538" t="s">
        <v>57</v>
      </c>
      <c r="D2538">
        <v>2022</v>
      </c>
      <c r="E2538" t="s">
        <v>146</v>
      </c>
      <c r="F2538">
        <v>1004</v>
      </c>
      <c r="G2538" t="s">
        <v>146</v>
      </c>
    </row>
    <row r="2539" spans="1:7" hidden="1" x14ac:dyDescent="0.35">
      <c r="A2539" t="s">
        <v>28</v>
      </c>
      <c r="B2539" t="s">
        <v>28</v>
      </c>
      <c r="C2539" t="s">
        <v>57</v>
      </c>
      <c r="D2539">
        <v>2023</v>
      </c>
      <c r="E2539" t="s">
        <v>146</v>
      </c>
      <c r="F2539">
        <v>1175</v>
      </c>
      <c r="G2539" t="s">
        <v>146</v>
      </c>
    </row>
    <row r="2540" spans="1:7" hidden="1" x14ac:dyDescent="0.35">
      <c r="A2540" t="s">
        <v>28</v>
      </c>
      <c r="B2540" t="s">
        <v>28</v>
      </c>
      <c r="C2540" t="s">
        <v>57</v>
      </c>
      <c r="D2540">
        <v>2024</v>
      </c>
      <c r="E2540" t="s">
        <v>146</v>
      </c>
      <c r="F2540">
        <v>1249</v>
      </c>
      <c r="G2540" t="s">
        <v>146</v>
      </c>
    </row>
    <row r="2541" spans="1:7" hidden="1" x14ac:dyDescent="0.35">
      <c r="A2541" t="s">
        <v>28</v>
      </c>
      <c r="B2541" t="s">
        <v>28</v>
      </c>
      <c r="C2541" t="s">
        <v>57</v>
      </c>
      <c r="D2541">
        <v>2025</v>
      </c>
      <c r="E2541" t="s">
        <v>146</v>
      </c>
      <c r="F2541">
        <v>3916</v>
      </c>
      <c r="G2541" t="s">
        <v>146</v>
      </c>
    </row>
    <row r="2542" spans="1:7" hidden="1" x14ac:dyDescent="0.35">
      <c r="A2542" t="s">
        <v>28</v>
      </c>
      <c r="B2542" t="s">
        <v>28</v>
      </c>
      <c r="C2542" t="s">
        <v>59</v>
      </c>
      <c r="D2542">
        <v>2022</v>
      </c>
      <c r="E2542" t="s">
        <v>146</v>
      </c>
      <c r="F2542">
        <v>0</v>
      </c>
      <c r="G2542" t="s">
        <v>146</v>
      </c>
    </row>
    <row r="2543" spans="1:7" hidden="1" x14ac:dyDescent="0.35">
      <c r="A2543" t="s">
        <v>28</v>
      </c>
      <c r="B2543" t="s">
        <v>28</v>
      </c>
      <c r="C2543" t="s">
        <v>59</v>
      </c>
      <c r="D2543">
        <v>2023</v>
      </c>
      <c r="E2543" t="s">
        <v>146</v>
      </c>
      <c r="F2543">
        <v>0</v>
      </c>
      <c r="G2543" t="s">
        <v>146</v>
      </c>
    </row>
    <row r="2544" spans="1:7" hidden="1" x14ac:dyDescent="0.35">
      <c r="A2544" t="s">
        <v>28</v>
      </c>
      <c r="B2544" t="s">
        <v>28</v>
      </c>
      <c r="C2544" t="s">
        <v>59</v>
      </c>
      <c r="D2544">
        <v>2024</v>
      </c>
      <c r="E2544" t="s">
        <v>146</v>
      </c>
      <c r="F2544">
        <v>0</v>
      </c>
      <c r="G2544" t="s">
        <v>146</v>
      </c>
    </row>
    <row r="2545" spans="1:7" hidden="1" x14ac:dyDescent="0.35">
      <c r="A2545" t="s">
        <v>28</v>
      </c>
      <c r="B2545" t="s">
        <v>28</v>
      </c>
      <c r="C2545" t="s">
        <v>59</v>
      </c>
      <c r="D2545">
        <v>2025</v>
      </c>
      <c r="E2545" t="s">
        <v>146</v>
      </c>
      <c r="F2545">
        <v>0</v>
      </c>
      <c r="G2545" t="s">
        <v>146</v>
      </c>
    </row>
    <row r="2546" spans="1:7" hidden="1" x14ac:dyDescent="0.35">
      <c r="A2546" t="s">
        <v>29</v>
      </c>
      <c r="B2546" t="s">
        <v>88</v>
      </c>
      <c r="C2546" t="s">
        <v>57</v>
      </c>
      <c r="D2546">
        <v>2022</v>
      </c>
      <c r="E2546" t="s">
        <v>146</v>
      </c>
      <c r="F2546">
        <v>9645</v>
      </c>
      <c r="G2546" t="s">
        <v>146</v>
      </c>
    </row>
    <row r="2547" spans="1:7" hidden="1" x14ac:dyDescent="0.35">
      <c r="A2547" t="s">
        <v>29</v>
      </c>
      <c r="B2547" t="s">
        <v>88</v>
      </c>
      <c r="C2547" t="s">
        <v>57</v>
      </c>
      <c r="D2547">
        <v>2023</v>
      </c>
      <c r="E2547" t="s">
        <v>146</v>
      </c>
      <c r="F2547">
        <v>7508</v>
      </c>
      <c r="G2547" t="s">
        <v>146</v>
      </c>
    </row>
    <row r="2548" spans="1:7" hidden="1" x14ac:dyDescent="0.35">
      <c r="A2548" t="s">
        <v>29</v>
      </c>
      <c r="B2548" t="s">
        <v>88</v>
      </c>
      <c r="C2548" t="s">
        <v>57</v>
      </c>
      <c r="D2548">
        <v>2024</v>
      </c>
      <c r="E2548" t="s">
        <v>146</v>
      </c>
      <c r="F2548">
        <v>8860</v>
      </c>
      <c r="G2548" t="s">
        <v>146</v>
      </c>
    </row>
    <row r="2549" spans="1:7" hidden="1" x14ac:dyDescent="0.35">
      <c r="A2549" t="s">
        <v>29</v>
      </c>
      <c r="B2549" t="s">
        <v>88</v>
      </c>
      <c r="C2549" t="s">
        <v>57</v>
      </c>
      <c r="D2549">
        <v>2025</v>
      </c>
      <c r="E2549" t="s">
        <v>146</v>
      </c>
      <c r="F2549">
        <v>5375</v>
      </c>
      <c r="G2549" t="s">
        <v>146</v>
      </c>
    </row>
    <row r="2550" spans="1:7" hidden="1" x14ac:dyDescent="0.35">
      <c r="A2550" t="s">
        <v>29</v>
      </c>
      <c r="B2550" t="s">
        <v>88</v>
      </c>
      <c r="C2550" t="s">
        <v>58</v>
      </c>
      <c r="D2550">
        <v>2022</v>
      </c>
      <c r="E2550" t="s">
        <v>146</v>
      </c>
      <c r="F2550">
        <v>2174</v>
      </c>
      <c r="G2550" t="s">
        <v>146</v>
      </c>
    </row>
    <row r="2551" spans="1:7" hidden="1" x14ac:dyDescent="0.35">
      <c r="A2551" t="s">
        <v>29</v>
      </c>
      <c r="B2551" t="s">
        <v>88</v>
      </c>
      <c r="C2551" t="s">
        <v>58</v>
      </c>
      <c r="D2551">
        <v>2023</v>
      </c>
      <c r="E2551" t="s">
        <v>146</v>
      </c>
      <c r="F2551">
        <v>2752</v>
      </c>
      <c r="G2551" t="s">
        <v>146</v>
      </c>
    </row>
    <row r="2552" spans="1:7" hidden="1" x14ac:dyDescent="0.35">
      <c r="A2552" t="s">
        <v>29</v>
      </c>
      <c r="B2552" t="s">
        <v>88</v>
      </c>
      <c r="C2552" t="s">
        <v>58</v>
      </c>
      <c r="D2552">
        <v>2024</v>
      </c>
      <c r="E2552" t="s">
        <v>146</v>
      </c>
      <c r="F2552">
        <v>7252</v>
      </c>
      <c r="G2552" t="s">
        <v>146</v>
      </c>
    </row>
    <row r="2553" spans="1:7" hidden="1" x14ac:dyDescent="0.35">
      <c r="A2553" t="s">
        <v>29</v>
      </c>
      <c r="B2553" t="s">
        <v>88</v>
      </c>
      <c r="C2553" t="s">
        <v>58</v>
      </c>
      <c r="D2553">
        <v>2025</v>
      </c>
      <c r="E2553" t="s">
        <v>146</v>
      </c>
      <c r="F2553">
        <v>3926</v>
      </c>
      <c r="G2553" t="s">
        <v>146</v>
      </c>
    </row>
    <row r="2554" spans="1:7" hidden="1" x14ac:dyDescent="0.35">
      <c r="A2554" t="s">
        <v>29</v>
      </c>
      <c r="B2554" t="s">
        <v>88</v>
      </c>
      <c r="C2554" t="s">
        <v>59</v>
      </c>
      <c r="D2554">
        <v>2022</v>
      </c>
      <c r="E2554" t="s">
        <v>146</v>
      </c>
      <c r="F2554">
        <v>0</v>
      </c>
      <c r="G2554" t="s">
        <v>146</v>
      </c>
    </row>
    <row r="2555" spans="1:7" hidden="1" x14ac:dyDescent="0.35">
      <c r="A2555" t="s">
        <v>29</v>
      </c>
      <c r="B2555" t="s">
        <v>88</v>
      </c>
      <c r="C2555" t="s">
        <v>59</v>
      </c>
      <c r="D2555">
        <v>2023</v>
      </c>
      <c r="E2555" t="s">
        <v>146</v>
      </c>
      <c r="F2555">
        <v>0</v>
      </c>
      <c r="G2555" t="s">
        <v>146</v>
      </c>
    </row>
    <row r="2556" spans="1:7" hidden="1" x14ac:dyDescent="0.35">
      <c r="A2556" t="s">
        <v>29</v>
      </c>
      <c r="B2556" t="s">
        <v>88</v>
      </c>
      <c r="C2556" t="s">
        <v>59</v>
      </c>
      <c r="D2556">
        <v>2024</v>
      </c>
      <c r="E2556" t="s">
        <v>146</v>
      </c>
      <c r="F2556">
        <v>0</v>
      </c>
      <c r="G2556" t="s">
        <v>146</v>
      </c>
    </row>
    <row r="2557" spans="1:7" hidden="1" x14ac:dyDescent="0.35">
      <c r="A2557" t="s">
        <v>29</v>
      </c>
      <c r="B2557" t="s">
        <v>88</v>
      </c>
      <c r="C2557" t="s">
        <v>59</v>
      </c>
      <c r="D2557">
        <v>2025</v>
      </c>
      <c r="E2557" t="s">
        <v>146</v>
      </c>
      <c r="F2557">
        <v>0</v>
      </c>
      <c r="G2557" t="s">
        <v>146</v>
      </c>
    </row>
    <row r="2558" spans="1:7" hidden="1" x14ac:dyDescent="0.35">
      <c r="A2558" t="s">
        <v>30</v>
      </c>
      <c r="B2558" t="s">
        <v>89</v>
      </c>
      <c r="C2558" t="s">
        <v>57</v>
      </c>
      <c r="D2558">
        <v>2022</v>
      </c>
      <c r="E2558" t="s">
        <v>146</v>
      </c>
      <c r="F2558">
        <v>589</v>
      </c>
      <c r="G2558" t="s">
        <v>146</v>
      </c>
    </row>
    <row r="2559" spans="1:7" hidden="1" x14ac:dyDescent="0.35">
      <c r="A2559" t="s">
        <v>30</v>
      </c>
      <c r="B2559" t="s">
        <v>89</v>
      </c>
      <c r="C2559" t="s">
        <v>57</v>
      </c>
      <c r="D2559">
        <v>2023</v>
      </c>
      <c r="E2559" t="s">
        <v>146</v>
      </c>
      <c r="F2559">
        <v>590</v>
      </c>
      <c r="G2559" t="s">
        <v>146</v>
      </c>
    </row>
    <row r="2560" spans="1:7" hidden="1" x14ac:dyDescent="0.35">
      <c r="A2560" t="s">
        <v>30</v>
      </c>
      <c r="B2560" t="s">
        <v>89</v>
      </c>
      <c r="C2560" t="s">
        <v>57</v>
      </c>
      <c r="D2560">
        <v>2024</v>
      </c>
      <c r="E2560" t="s">
        <v>146</v>
      </c>
      <c r="F2560">
        <v>586</v>
      </c>
      <c r="G2560" t="s">
        <v>146</v>
      </c>
    </row>
    <row r="2561" spans="1:7" hidden="1" x14ac:dyDescent="0.35">
      <c r="A2561" t="s">
        <v>30</v>
      </c>
      <c r="B2561" t="s">
        <v>89</v>
      </c>
      <c r="C2561" t="s">
        <v>57</v>
      </c>
      <c r="D2561">
        <v>2025</v>
      </c>
      <c r="E2561" t="s">
        <v>146</v>
      </c>
      <c r="F2561">
        <v>690</v>
      </c>
      <c r="G2561" t="s">
        <v>146</v>
      </c>
    </row>
    <row r="2562" spans="1:7" hidden="1" x14ac:dyDescent="0.35">
      <c r="A2562" t="s">
        <v>30</v>
      </c>
      <c r="B2562" t="s">
        <v>89</v>
      </c>
      <c r="C2562" t="s">
        <v>58</v>
      </c>
      <c r="D2562">
        <v>2022</v>
      </c>
      <c r="E2562" t="s">
        <v>146</v>
      </c>
      <c r="F2562">
        <v>92</v>
      </c>
      <c r="G2562" t="s">
        <v>146</v>
      </c>
    </row>
    <row r="2563" spans="1:7" hidden="1" x14ac:dyDescent="0.35">
      <c r="A2563" t="s">
        <v>30</v>
      </c>
      <c r="B2563" t="s">
        <v>89</v>
      </c>
      <c r="C2563" t="s">
        <v>58</v>
      </c>
      <c r="D2563">
        <v>2023</v>
      </c>
      <c r="E2563" t="s">
        <v>146</v>
      </c>
      <c r="F2563">
        <v>107</v>
      </c>
      <c r="G2563" t="s">
        <v>146</v>
      </c>
    </row>
    <row r="2564" spans="1:7" hidden="1" x14ac:dyDescent="0.35">
      <c r="A2564" t="s">
        <v>30</v>
      </c>
      <c r="B2564" t="s">
        <v>89</v>
      </c>
      <c r="C2564" t="s">
        <v>58</v>
      </c>
      <c r="D2564">
        <v>2024</v>
      </c>
      <c r="E2564" t="s">
        <v>146</v>
      </c>
      <c r="F2564">
        <v>103</v>
      </c>
      <c r="G2564" t="s">
        <v>146</v>
      </c>
    </row>
    <row r="2565" spans="1:7" hidden="1" x14ac:dyDescent="0.35">
      <c r="A2565" t="s">
        <v>30</v>
      </c>
      <c r="B2565" t="s">
        <v>89</v>
      </c>
      <c r="C2565" t="s">
        <v>58</v>
      </c>
      <c r="D2565">
        <v>2025</v>
      </c>
      <c r="E2565" t="s">
        <v>146</v>
      </c>
      <c r="F2565">
        <v>62</v>
      </c>
      <c r="G2565" t="s">
        <v>146</v>
      </c>
    </row>
    <row r="2566" spans="1:7" hidden="1" x14ac:dyDescent="0.35">
      <c r="A2566" t="s">
        <v>30</v>
      </c>
      <c r="B2566" t="s">
        <v>89</v>
      </c>
      <c r="C2566" t="s">
        <v>59</v>
      </c>
      <c r="D2566">
        <v>2022</v>
      </c>
      <c r="E2566" t="s">
        <v>146</v>
      </c>
      <c r="F2566">
        <v>342</v>
      </c>
      <c r="G2566" t="s">
        <v>146</v>
      </c>
    </row>
    <row r="2567" spans="1:7" hidden="1" x14ac:dyDescent="0.35">
      <c r="A2567" t="s">
        <v>30</v>
      </c>
      <c r="B2567" t="s">
        <v>89</v>
      </c>
      <c r="C2567" t="s">
        <v>59</v>
      </c>
      <c r="D2567">
        <v>2023</v>
      </c>
      <c r="E2567" t="s">
        <v>146</v>
      </c>
      <c r="F2567">
        <v>24</v>
      </c>
      <c r="G2567" t="s">
        <v>146</v>
      </c>
    </row>
    <row r="2568" spans="1:7" hidden="1" x14ac:dyDescent="0.35">
      <c r="A2568" t="s">
        <v>30</v>
      </c>
      <c r="B2568" t="s">
        <v>89</v>
      </c>
      <c r="C2568" t="s">
        <v>59</v>
      </c>
      <c r="D2568">
        <v>2024</v>
      </c>
      <c r="E2568" t="s">
        <v>146</v>
      </c>
      <c r="F2568">
        <v>-792</v>
      </c>
      <c r="G2568" t="s">
        <v>146</v>
      </c>
    </row>
    <row r="2569" spans="1:7" hidden="1" x14ac:dyDescent="0.35">
      <c r="A2569" t="s">
        <v>30</v>
      </c>
      <c r="B2569" t="s">
        <v>89</v>
      </c>
      <c r="C2569" t="s">
        <v>59</v>
      </c>
      <c r="D2569">
        <v>2025</v>
      </c>
      <c r="E2569" t="s">
        <v>146</v>
      </c>
      <c r="F2569">
        <v>-753</v>
      </c>
      <c r="G2569" t="s">
        <v>146</v>
      </c>
    </row>
    <row r="2570" spans="1:7" hidden="1" x14ac:dyDescent="0.35">
      <c r="A2570" t="s">
        <v>31</v>
      </c>
      <c r="B2570" t="s">
        <v>31</v>
      </c>
      <c r="C2570" t="s">
        <v>57</v>
      </c>
      <c r="D2570">
        <v>2022</v>
      </c>
      <c r="E2570" t="s">
        <v>146</v>
      </c>
      <c r="F2570">
        <v>798</v>
      </c>
      <c r="G2570" t="s">
        <v>146</v>
      </c>
    </row>
    <row r="2571" spans="1:7" hidden="1" x14ac:dyDescent="0.35">
      <c r="A2571" t="s">
        <v>31</v>
      </c>
      <c r="B2571" t="s">
        <v>31</v>
      </c>
      <c r="C2571" t="s">
        <v>57</v>
      </c>
      <c r="D2571">
        <v>2023</v>
      </c>
      <c r="E2571" t="s">
        <v>146</v>
      </c>
      <c r="F2571">
        <v>1066</v>
      </c>
      <c r="G2571" t="s">
        <v>146</v>
      </c>
    </row>
    <row r="2572" spans="1:7" hidden="1" x14ac:dyDescent="0.35">
      <c r="A2572" t="s">
        <v>31</v>
      </c>
      <c r="B2572" t="s">
        <v>31</v>
      </c>
      <c r="C2572" t="s">
        <v>57</v>
      </c>
      <c r="D2572">
        <v>2024</v>
      </c>
      <c r="E2572" t="s">
        <v>146</v>
      </c>
      <c r="F2572">
        <v>1053</v>
      </c>
      <c r="G2572" t="s">
        <v>146</v>
      </c>
    </row>
    <row r="2573" spans="1:7" hidden="1" x14ac:dyDescent="0.35">
      <c r="A2573" t="s">
        <v>31</v>
      </c>
      <c r="B2573" t="s">
        <v>31</v>
      </c>
      <c r="C2573" t="s">
        <v>57</v>
      </c>
      <c r="D2573">
        <v>2025</v>
      </c>
      <c r="E2573" t="s">
        <v>146</v>
      </c>
      <c r="F2573">
        <v>628</v>
      </c>
      <c r="G2573" t="s">
        <v>146</v>
      </c>
    </row>
    <row r="2574" spans="1:7" hidden="1" x14ac:dyDescent="0.35">
      <c r="A2574" t="s">
        <v>31</v>
      </c>
      <c r="B2574" t="s">
        <v>31</v>
      </c>
      <c r="C2574" t="s">
        <v>58</v>
      </c>
      <c r="D2574">
        <v>2022</v>
      </c>
      <c r="E2574" t="s">
        <v>146</v>
      </c>
      <c r="F2574">
        <v>221</v>
      </c>
      <c r="G2574" t="s">
        <v>146</v>
      </c>
    </row>
    <row r="2575" spans="1:7" hidden="1" x14ac:dyDescent="0.35">
      <c r="A2575" t="s">
        <v>31</v>
      </c>
      <c r="B2575" t="s">
        <v>31</v>
      </c>
      <c r="C2575" t="s">
        <v>58</v>
      </c>
      <c r="D2575">
        <v>2023</v>
      </c>
      <c r="E2575" t="s">
        <v>146</v>
      </c>
      <c r="F2575">
        <v>175</v>
      </c>
      <c r="G2575" t="s">
        <v>146</v>
      </c>
    </row>
    <row r="2576" spans="1:7" hidden="1" x14ac:dyDescent="0.35">
      <c r="A2576" t="s">
        <v>31</v>
      </c>
      <c r="B2576" t="s">
        <v>31</v>
      </c>
      <c r="C2576" t="s">
        <v>58</v>
      </c>
      <c r="D2576">
        <v>2024</v>
      </c>
      <c r="E2576" t="s">
        <v>146</v>
      </c>
      <c r="F2576">
        <v>213</v>
      </c>
      <c r="G2576" t="s">
        <v>146</v>
      </c>
    </row>
    <row r="2577" spans="1:7" hidden="1" x14ac:dyDescent="0.35">
      <c r="A2577" t="s">
        <v>31</v>
      </c>
      <c r="B2577" t="s">
        <v>31</v>
      </c>
      <c r="C2577" t="s">
        <v>58</v>
      </c>
      <c r="D2577">
        <v>2025</v>
      </c>
      <c r="E2577" t="s">
        <v>146</v>
      </c>
      <c r="F2577">
        <v>973</v>
      </c>
      <c r="G2577" t="s">
        <v>146</v>
      </c>
    </row>
    <row r="2578" spans="1:7" hidden="1" x14ac:dyDescent="0.35">
      <c r="A2578" t="s">
        <v>31</v>
      </c>
      <c r="B2578" t="s">
        <v>31</v>
      </c>
      <c r="C2578" t="s">
        <v>59</v>
      </c>
      <c r="D2578">
        <v>2022</v>
      </c>
      <c r="E2578" t="s">
        <v>146</v>
      </c>
      <c r="F2578">
        <v>159</v>
      </c>
      <c r="G2578" t="s">
        <v>146</v>
      </c>
    </row>
    <row r="2579" spans="1:7" hidden="1" x14ac:dyDescent="0.35">
      <c r="A2579" t="s">
        <v>31</v>
      </c>
      <c r="B2579" t="s">
        <v>31</v>
      </c>
      <c r="C2579" t="s">
        <v>59</v>
      </c>
      <c r="D2579">
        <v>2023</v>
      </c>
      <c r="E2579" t="s">
        <v>146</v>
      </c>
      <c r="F2579">
        <v>87</v>
      </c>
      <c r="G2579" t="s">
        <v>146</v>
      </c>
    </row>
    <row r="2580" spans="1:7" hidden="1" x14ac:dyDescent="0.35">
      <c r="A2580" t="s">
        <v>31</v>
      </c>
      <c r="B2580" t="s">
        <v>31</v>
      </c>
      <c r="C2580" t="s">
        <v>59</v>
      </c>
      <c r="D2580">
        <v>2024</v>
      </c>
      <c r="E2580" t="s">
        <v>146</v>
      </c>
      <c r="F2580">
        <v>551</v>
      </c>
      <c r="G2580" t="s">
        <v>146</v>
      </c>
    </row>
    <row r="2581" spans="1:7" hidden="1" x14ac:dyDescent="0.35">
      <c r="A2581" t="s">
        <v>31</v>
      </c>
      <c r="B2581" t="s">
        <v>31</v>
      </c>
      <c r="C2581" t="s">
        <v>59</v>
      </c>
      <c r="D2581">
        <v>2025</v>
      </c>
      <c r="E2581" t="s">
        <v>146</v>
      </c>
      <c r="F2581">
        <v>423</v>
      </c>
      <c r="G2581" t="s">
        <v>146</v>
      </c>
    </row>
    <row r="2582" spans="1:7" hidden="1" x14ac:dyDescent="0.35">
      <c r="A2582" t="s">
        <v>32</v>
      </c>
      <c r="B2582" t="s">
        <v>90</v>
      </c>
      <c r="C2582" t="s">
        <v>57</v>
      </c>
      <c r="D2582">
        <v>2022</v>
      </c>
      <c r="E2582" t="s">
        <v>146</v>
      </c>
      <c r="F2582">
        <v>35731</v>
      </c>
      <c r="G2582" t="s">
        <v>146</v>
      </c>
    </row>
    <row r="2583" spans="1:7" hidden="1" x14ac:dyDescent="0.35">
      <c r="A2583" t="s">
        <v>32</v>
      </c>
      <c r="B2583" t="s">
        <v>90</v>
      </c>
      <c r="C2583" t="s">
        <v>57</v>
      </c>
      <c r="D2583">
        <v>2023</v>
      </c>
      <c r="E2583" t="s">
        <v>146</v>
      </c>
      <c r="F2583">
        <v>36785</v>
      </c>
      <c r="G2583" t="s">
        <v>146</v>
      </c>
    </row>
    <row r="2584" spans="1:7" hidden="1" x14ac:dyDescent="0.35">
      <c r="A2584" t="s">
        <v>32</v>
      </c>
      <c r="B2584" t="s">
        <v>90</v>
      </c>
      <c r="C2584" t="s">
        <v>57</v>
      </c>
      <c r="D2584">
        <v>2024</v>
      </c>
      <c r="E2584" t="s">
        <v>146</v>
      </c>
      <c r="F2584">
        <v>36699</v>
      </c>
      <c r="G2584" t="s">
        <v>146</v>
      </c>
    </row>
    <row r="2585" spans="1:7" hidden="1" x14ac:dyDescent="0.35">
      <c r="A2585" t="s">
        <v>32</v>
      </c>
      <c r="B2585" t="s">
        <v>90</v>
      </c>
      <c r="C2585" t="s">
        <v>57</v>
      </c>
      <c r="D2585">
        <v>2025</v>
      </c>
      <c r="E2585" t="s">
        <v>146</v>
      </c>
      <c r="F2585">
        <v>36675</v>
      </c>
      <c r="G2585" t="s">
        <v>146</v>
      </c>
    </row>
    <row r="2586" spans="1:7" hidden="1" x14ac:dyDescent="0.35">
      <c r="A2586" t="s">
        <v>32</v>
      </c>
      <c r="B2586" t="s">
        <v>90</v>
      </c>
      <c r="C2586" t="s">
        <v>58</v>
      </c>
      <c r="D2586">
        <v>2022</v>
      </c>
      <c r="E2586" t="s">
        <v>146</v>
      </c>
      <c r="F2586">
        <v>7572</v>
      </c>
      <c r="G2586" t="s">
        <v>146</v>
      </c>
    </row>
    <row r="2587" spans="1:7" hidden="1" x14ac:dyDescent="0.35">
      <c r="A2587" t="s">
        <v>32</v>
      </c>
      <c r="B2587" t="s">
        <v>90</v>
      </c>
      <c r="C2587" t="s">
        <v>58</v>
      </c>
      <c r="D2587">
        <v>2023</v>
      </c>
      <c r="E2587" t="s">
        <v>146</v>
      </c>
      <c r="F2587">
        <v>7839</v>
      </c>
      <c r="G2587" t="s">
        <v>146</v>
      </c>
    </row>
    <row r="2588" spans="1:7" hidden="1" x14ac:dyDescent="0.35">
      <c r="A2588" t="s">
        <v>32</v>
      </c>
      <c r="B2588" t="s">
        <v>90</v>
      </c>
      <c r="C2588" t="s">
        <v>58</v>
      </c>
      <c r="D2588">
        <v>2024</v>
      </c>
      <c r="E2588" t="s">
        <v>146</v>
      </c>
      <c r="F2588">
        <v>11165</v>
      </c>
      <c r="G2588" t="s">
        <v>146</v>
      </c>
    </row>
    <row r="2589" spans="1:7" hidden="1" x14ac:dyDescent="0.35">
      <c r="A2589" t="s">
        <v>32</v>
      </c>
      <c r="B2589" t="s">
        <v>90</v>
      </c>
      <c r="C2589" t="s">
        <v>58</v>
      </c>
      <c r="D2589">
        <v>2025</v>
      </c>
      <c r="E2589" t="s">
        <v>146</v>
      </c>
      <c r="F2589">
        <v>10891</v>
      </c>
      <c r="G2589" t="s">
        <v>146</v>
      </c>
    </row>
    <row r="2590" spans="1:7" hidden="1" x14ac:dyDescent="0.35">
      <c r="A2590" t="s">
        <v>32</v>
      </c>
      <c r="B2590" t="s">
        <v>90</v>
      </c>
      <c r="C2590" t="s">
        <v>59</v>
      </c>
      <c r="D2590">
        <v>2022</v>
      </c>
      <c r="E2590" t="s">
        <v>146</v>
      </c>
      <c r="F2590">
        <v>4347</v>
      </c>
      <c r="G2590" t="s">
        <v>146</v>
      </c>
    </row>
    <row r="2591" spans="1:7" hidden="1" x14ac:dyDescent="0.35">
      <c r="A2591" t="s">
        <v>32</v>
      </c>
      <c r="B2591" t="s">
        <v>90</v>
      </c>
      <c r="C2591" t="s">
        <v>59</v>
      </c>
      <c r="D2591">
        <v>2023</v>
      </c>
      <c r="E2591" t="s">
        <v>146</v>
      </c>
      <c r="F2591">
        <v>7588</v>
      </c>
      <c r="G2591" t="s">
        <v>146</v>
      </c>
    </row>
    <row r="2592" spans="1:7" hidden="1" x14ac:dyDescent="0.35">
      <c r="A2592" t="s">
        <v>32</v>
      </c>
      <c r="B2592" t="s">
        <v>90</v>
      </c>
      <c r="C2592" t="s">
        <v>59</v>
      </c>
      <c r="D2592">
        <v>2024</v>
      </c>
      <c r="E2592" t="s">
        <v>146</v>
      </c>
      <c r="F2592">
        <v>10272</v>
      </c>
      <c r="G2592" t="s">
        <v>146</v>
      </c>
    </row>
    <row r="2593" spans="1:7" hidden="1" x14ac:dyDescent="0.35">
      <c r="A2593" t="s">
        <v>32</v>
      </c>
      <c r="B2593" t="s">
        <v>90</v>
      </c>
      <c r="C2593" t="s">
        <v>59</v>
      </c>
      <c r="D2593">
        <v>2025</v>
      </c>
      <c r="E2593" t="s">
        <v>146</v>
      </c>
      <c r="F2593">
        <v>12674</v>
      </c>
      <c r="G2593" t="s">
        <v>146</v>
      </c>
    </row>
    <row r="2594" spans="1:7" hidden="1" x14ac:dyDescent="0.35">
      <c r="A2594" t="s">
        <v>33</v>
      </c>
      <c r="B2594" t="s">
        <v>91</v>
      </c>
      <c r="C2594" t="s">
        <v>57</v>
      </c>
      <c r="D2594">
        <v>2022</v>
      </c>
      <c r="E2594" t="s">
        <v>146</v>
      </c>
      <c r="F2594">
        <v>1584</v>
      </c>
      <c r="G2594" t="s">
        <v>146</v>
      </c>
    </row>
    <row r="2595" spans="1:7" hidden="1" x14ac:dyDescent="0.35">
      <c r="A2595" t="s">
        <v>33</v>
      </c>
      <c r="B2595" t="s">
        <v>91</v>
      </c>
      <c r="C2595" t="s">
        <v>57</v>
      </c>
      <c r="D2595">
        <v>2023</v>
      </c>
      <c r="E2595" t="s">
        <v>146</v>
      </c>
      <c r="F2595">
        <v>2018</v>
      </c>
      <c r="G2595" t="s">
        <v>146</v>
      </c>
    </row>
    <row r="2596" spans="1:7" hidden="1" x14ac:dyDescent="0.35">
      <c r="A2596" t="s">
        <v>33</v>
      </c>
      <c r="B2596" t="s">
        <v>91</v>
      </c>
      <c r="C2596" t="s">
        <v>57</v>
      </c>
      <c r="D2596">
        <v>2024</v>
      </c>
      <c r="E2596" t="s">
        <v>146</v>
      </c>
      <c r="F2596">
        <v>2364</v>
      </c>
      <c r="G2596" t="s">
        <v>146</v>
      </c>
    </row>
    <row r="2597" spans="1:7" hidden="1" x14ac:dyDescent="0.35">
      <c r="A2597" t="s">
        <v>33</v>
      </c>
      <c r="B2597" t="s">
        <v>91</v>
      </c>
      <c r="C2597" t="s">
        <v>57</v>
      </c>
      <c r="D2597">
        <v>2025</v>
      </c>
      <c r="E2597" t="s">
        <v>146</v>
      </c>
      <c r="F2597">
        <v>1368</v>
      </c>
      <c r="G2597" t="s">
        <v>146</v>
      </c>
    </row>
    <row r="2598" spans="1:7" hidden="1" x14ac:dyDescent="0.35">
      <c r="A2598" t="s">
        <v>33</v>
      </c>
      <c r="B2598" t="s">
        <v>91</v>
      </c>
      <c r="C2598" t="s">
        <v>59</v>
      </c>
      <c r="D2598">
        <v>2022</v>
      </c>
      <c r="E2598" t="s">
        <v>146</v>
      </c>
      <c r="F2598">
        <v>282</v>
      </c>
      <c r="G2598" t="s">
        <v>146</v>
      </c>
    </row>
    <row r="2599" spans="1:7" hidden="1" x14ac:dyDescent="0.35">
      <c r="A2599" t="s">
        <v>33</v>
      </c>
      <c r="B2599" t="s">
        <v>91</v>
      </c>
      <c r="C2599" t="s">
        <v>59</v>
      </c>
      <c r="D2599">
        <v>2023</v>
      </c>
      <c r="E2599" t="s">
        <v>146</v>
      </c>
      <c r="F2599">
        <v>400</v>
      </c>
      <c r="G2599" t="s">
        <v>146</v>
      </c>
    </row>
    <row r="2600" spans="1:7" hidden="1" x14ac:dyDescent="0.35">
      <c r="A2600" t="s">
        <v>33</v>
      </c>
      <c r="B2600" t="s">
        <v>91</v>
      </c>
      <c r="C2600" t="s">
        <v>59</v>
      </c>
      <c r="D2600">
        <v>2024</v>
      </c>
      <c r="E2600" t="s">
        <v>146</v>
      </c>
      <c r="F2600">
        <v>231</v>
      </c>
      <c r="G2600" t="s">
        <v>146</v>
      </c>
    </row>
    <row r="2601" spans="1:7" hidden="1" x14ac:dyDescent="0.35">
      <c r="A2601" t="s">
        <v>33</v>
      </c>
      <c r="B2601" t="s">
        <v>91</v>
      </c>
      <c r="C2601" t="s">
        <v>59</v>
      </c>
      <c r="D2601">
        <v>2025</v>
      </c>
      <c r="E2601" t="s">
        <v>146</v>
      </c>
      <c r="F2601">
        <v>70</v>
      </c>
      <c r="G2601" t="s">
        <v>146</v>
      </c>
    </row>
    <row r="2602" spans="1:7" hidden="1" x14ac:dyDescent="0.35">
      <c r="A2602" t="s">
        <v>34</v>
      </c>
      <c r="B2602" t="s">
        <v>92</v>
      </c>
      <c r="C2602" t="s">
        <v>57</v>
      </c>
      <c r="D2602">
        <v>2022</v>
      </c>
      <c r="E2602" t="s">
        <v>146</v>
      </c>
      <c r="F2602">
        <v>1394</v>
      </c>
      <c r="G2602" t="s">
        <v>146</v>
      </c>
    </row>
    <row r="2603" spans="1:7" hidden="1" x14ac:dyDescent="0.35">
      <c r="A2603" t="s">
        <v>34</v>
      </c>
      <c r="B2603" t="s">
        <v>92</v>
      </c>
      <c r="C2603" t="s">
        <v>57</v>
      </c>
      <c r="D2603">
        <v>2023</v>
      </c>
      <c r="E2603" t="s">
        <v>146</v>
      </c>
      <c r="F2603">
        <v>2099</v>
      </c>
      <c r="G2603" t="s">
        <v>146</v>
      </c>
    </row>
    <row r="2604" spans="1:7" hidden="1" x14ac:dyDescent="0.35">
      <c r="A2604" t="s">
        <v>34</v>
      </c>
      <c r="B2604" t="s">
        <v>92</v>
      </c>
      <c r="C2604" t="s">
        <v>57</v>
      </c>
      <c r="D2604">
        <v>2024</v>
      </c>
      <c r="E2604" t="s">
        <v>146</v>
      </c>
      <c r="F2604">
        <v>2589</v>
      </c>
      <c r="G2604" t="s">
        <v>146</v>
      </c>
    </row>
    <row r="2605" spans="1:7" hidden="1" x14ac:dyDescent="0.35">
      <c r="A2605" t="s">
        <v>34</v>
      </c>
      <c r="B2605" t="s">
        <v>92</v>
      </c>
      <c r="C2605" t="s">
        <v>57</v>
      </c>
      <c r="D2605">
        <v>2025</v>
      </c>
      <c r="E2605" t="s">
        <v>146</v>
      </c>
      <c r="F2605">
        <v>2235</v>
      </c>
      <c r="G2605" t="s">
        <v>146</v>
      </c>
    </row>
    <row r="2606" spans="1:7" hidden="1" x14ac:dyDescent="0.35">
      <c r="A2606" t="s">
        <v>34</v>
      </c>
      <c r="B2606" t="s">
        <v>92</v>
      </c>
      <c r="C2606" t="s">
        <v>59</v>
      </c>
      <c r="D2606">
        <v>2022</v>
      </c>
      <c r="E2606" t="s">
        <v>146</v>
      </c>
      <c r="F2606">
        <v>63</v>
      </c>
      <c r="G2606" t="s">
        <v>146</v>
      </c>
    </row>
    <row r="2607" spans="1:7" hidden="1" x14ac:dyDescent="0.35">
      <c r="A2607" t="s">
        <v>34</v>
      </c>
      <c r="B2607" t="s">
        <v>92</v>
      </c>
      <c r="C2607" t="s">
        <v>59</v>
      </c>
      <c r="D2607">
        <v>2023</v>
      </c>
      <c r="E2607" t="s">
        <v>146</v>
      </c>
      <c r="F2607">
        <v>52</v>
      </c>
      <c r="G2607" t="s">
        <v>146</v>
      </c>
    </row>
    <row r="2608" spans="1:7" hidden="1" x14ac:dyDescent="0.35">
      <c r="A2608" t="s">
        <v>34</v>
      </c>
      <c r="B2608" t="s">
        <v>92</v>
      </c>
      <c r="C2608" t="s">
        <v>59</v>
      </c>
      <c r="D2608">
        <v>2024</v>
      </c>
      <c r="E2608" t="s">
        <v>146</v>
      </c>
      <c r="F2608">
        <v>66</v>
      </c>
      <c r="G2608" t="s">
        <v>146</v>
      </c>
    </row>
    <row r="2609" spans="1:7" hidden="1" x14ac:dyDescent="0.35">
      <c r="A2609" t="s">
        <v>34</v>
      </c>
      <c r="B2609" t="s">
        <v>92</v>
      </c>
      <c r="C2609" t="s">
        <v>59</v>
      </c>
      <c r="D2609">
        <v>2025</v>
      </c>
      <c r="E2609" t="s">
        <v>146</v>
      </c>
      <c r="F2609">
        <v>62</v>
      </c>
      <c r="G2609" t="s">
        <v>146</v>
      </c>
    </row>
    <row r="2610" spans="1:7" hidden="1" x14ac:dyDescent="0.35">
      <c r="A2610" t="s">
        <v>35</v>
      </c>
      <c r="B2610" t="s">
        <v>93</v>
      </c>
      <c r="C2610" t="s">
        <v>57</v>
      </c>
      <c r="D2610">
        <v>2022</v>
      </c>
      <c r="E2610" t="s">
        <v>146</v>
      </c>
      <c r="F2610">
        <v>536</v>
      </c>
      <c r="G2610" t="s">
        <v>146</v>
      </c>
    </row>
    <row r="2611" spans="1:7" hidden="1" x14ac:dyDescent="0.35">
      <c r="A2611" t="s">
        <v>35</v>
      </c>
      <c r="B2611" t="s">
        <v>93</v>
      </c>
      <c r="C2611" t="s">
        <v>57</v>
      </c>
      <c r="D2611">
        <v>2023</v>
      </c>
      <c r="E2611" t="s">
        <v>146</v>
      </c>
      <c r="F2611">
        <v>420</v>
      </c>
      <c r="G2611" t="s">
        <v>146</v>
      </c>
    </row>
    <row r="2612" spans="1:7" hidden="1" x14ac:dyDescent="0.35">
      <c r="A2612" t="s">
        <v>35</v>
      </c>
      <c r="B2612" t="s">
        <v>93</v>
      </c>
      <c r="C2612" t="s">
        <v>57</v>
      </c>
      <c r="D2612">
        <v>2024</v>
      </c>
      <c r="E2612" t="s">
        <v>146</v>
      </c>
      <c r="F2612">
        <v>136</v>
      </c>
      <c r="G2612" t="s">
        <v>146</v>
      </c>
    </row>
    <row r="2613" spans="1:7" hidden="1" x14ac:dyDescent="0.35">
      <c r="A2613" t="s">
        <v>35</v>
      </c>
      <c r="B2613" t="s">
        <v>93</v>
      </c>
      <c r="C2613" t="s">
        <v>57</v>
      </c>
      <c r="D2613">
        <v>2025</v>
      </c>
      <c r="E2613" t="s">
        <v>146</v>
      </c>
      <c r="F2613">
        <v>-218</v>
      </c>
      <c r="G2613" t="s">
        <v>146</v>
      </c>
    </row>
    <row r="2614" spans="1:7" hidden="1" x14ac:dyDescent="0.35">
      <c r="A2614" t="s">
        <v>35</v>
      </c>
      <c r="B2614" t="s">
        <v>93</v>
      </c>
      <c r="C2614" t="s">
        <v>59</v>
      </c>
      <c r="D2614">
        <v>2022</v>
      </c>
      <c r="E2614" t="s">
        <v>146</v>
      </c>
      <c r="F2614">
        <v>0</v>
      </c>
      <c r="G2614" t="s">
        <v>146</v>
      </c>
    </row>
    <row r="2615" spans="1:7" hidden="1" x14ac:dyDescent="0.35">
      <c r="A2615" t="s">
        <v>35</v>
      </c>
      <c r="B2615" t="s">
        <v>93</v>
      </c>
      <c r="C2615" t="s">
        <v>59</v>
      </c>
      <c r="D2615">
        <v>2023</v>
      </c>
      <c r="E2615" t="s">
        <v>146</v>
      </c>
      <c r="F2615">
        <v>0</v>
      </c>
      <c r="G2615" t="s">
        <v>146</v>
      </c>
    </row>
    <row r="2616" spans="1:7" hidden="1" x14ac:dyDescent="0.35">
      <c r="A2616" t="s">
        <v>35</v>
      </c>
      <c r="B2616" t="s">
        <v>93</v>
      </c>
      <c r="C2616" t="s">
        <v>59</v>
      </c>
      <c r="D2616">
        <v>2024</v>
      </c>
      <c r="E2616" t="s">
        <v>146</v>
      </c>
      <c r="F2616">
        <v>0</v>
      </c>
      <c r="G2616" t="s">
        <v>146</v>
      </c>
    </row>
    <row r="2617" spans="1:7" hidden="1" x14ac:dyDescent="0.35">
      <c r="A2617" t="s">
        <v>35</v>
      </c>
      <c r="B2617" t="s">
        <v>93</v>
      </c>
      <c r="C2617" t="s">
        <v>59</v>
      </c>
      <c r="D2617">
        <v>2025</v>
      </c>
      <c r="E2617" t="s">
        <v>146</v>
      </c>
      <c r="F2617">
        <v>0</v>
      </c>
      <c r="G2617" t="s">
        <v>146</v>
      </c>
    </row>
    <row r="2618" spans="1:7" hidden="1" x14ac:dyDescent="0.35">
      <c r="A2618" t="s">
        <v>36</v>
      </c>
      <c r="B2618" t="s">
        <v>94</v>
      </c>
      <c r="C2618" t="s">
        <v>57</v>
      </c>
      <c r="D2618">
        <v>2022</v>
      </c>
      <c r="E2618" t="s">
        <v>146</v>
      </c>
      <c r="F2618">
        <v>1034</v>
      </c>
      <c r="G2618" t="s">
        <v>146</v>
      </c>
    </row>
    <row r="2619" spans="1:7" hidden="1" x14ac:dyDescent="0.35">
      <c r="A2619" t="s">
        <v>36</v>
      </c>
      <c r="B2619" t="s">
        <v>94</v>
      </c>
      <c r="C2619" t="s">
        <v>57</v>
      </c>
      <c r="D2619">
        <v>2023</v>
      </c>
      <c r="E2619" t="s">
        <v>146</v>
      </c>
      <c r="F2619">
        <v>1912</v>
      </c>
      <c r="G2619" t="s">
        <v>146</v>
      </c>
    </row>
    <row r="2620" spans="1:7" hidden="1" x14ac:dyDescent="0.35">
      <c r="A2620" t="s">
        <v>36</v>
      </c>
      <c r="B2620" t="s">
        <v>94</v>
      </c>
      <c r="C2620" t="s">
        <v>57</v>
      </c>
      <c r="D2620">
        <v>2024</v>
      </c>
      <c r="E2620" t="s">
        <v>146</v>
      </c>
      <c r="F2620">
        <v>2952</v>
      </c>
      <c r="G2620" t="s">
        <v>146</v>
      </c>
    </row>
    <row r="2621" spans="1:7" hidden="1" x14ac:dyDescent="0.35">
      <c r="A2621" t="s">
        <v>36</v>
      </c>
      <c r="B2621" t="s">
        <v>94</v>
      </c>
      <c r="C2621" t="s">
        <v>57</v>
      </c>
      <c r="D2621">
        <v>2025</v>
      </c>
      <c r="E2621" t="s">
        <v>146</v>
      </c>
      <c r="F2621">
        <v>4409</v>
      </c>
      <c r="G2621" t="s">
        <v>146</v>
      </c>
    </row>
    <row r="2622" spans="1:7" hidden="1" x14ac:dyDescent="0.35">
      <c r="A2622" t="s">
        <v>36</v>
      </c>
      <c r="B2622" t="s">
        <v>94</v>
      </c>
      <c r="C2622" t="s">
        <v>58</v>
      </c>
      <c r="D2622">
        <v>2022</v>
      </c>
      <c r="E2622" t="s">
        <v>146</v>
      </c>
      <c r="F2622">
        <v>1108</v>
      </c>
      <c r="G2622" t="s">
        <v>146</v>
      </c>
    </row>
    <row r="2623" spans="1:7" hidden="1" x14ac:dyDescent="0.35">
      <c r="A2623" t="s">
        <v>36</v>
      </c>
      <c r="B2623" t="s">
        <v>94</v>
      </c>
      <c r="C2623" t="s">
        <v>58</v>
      </c>
      <c r="D2623">
        <v>2023</v>
      </c>
      <c r="E2623" t="s">
        <v>146</v>
      </c>
      <c r="F2623">
        <v>1061</v>
      </c>
      <c r="G2623" t="s">
        <v>146</v>
      </c>
    </row>
    <row r="2624" spans="1:7" hidden="1" x14ac:dyDescent="0.35">
      <c r="A2624" t="s">
        <v>36</v>
      </c>
      <c r="B2624" t="s">
        <v>94</v>
      </c>
      <c r="C2624" t="s">
        <v>58</v>
      </c>
      <c r="D2624">
        <v>2024</v>
      </c>
      <c r="E2624" t="s">
        <v>146</v>
      </c>
      <c r="F2624">
        <v>1689</v>
      </c>
      <c r="G2624" t="s">
        <v>146</v>
      </c>
    </row>
    <row r="2625" spans="1:7" hidden="1" x14ac:dyDescent="0.35">
      <c r="A2625" t="s">
        <v>36</v>
      </c>
      <c r="B2625" t="s">
        <v>94</v>
      </c>
      <c r="C2625" t="s">
        <v>58</v>
      </c>
      <c r="D2625">
        <v>2025</v>
      </c>
      <c r="E2625" t="s">
        <v>146</v>
      </c>
      <c r="F2625">
        <v>2055</v>
      </c>
      <c r="G2625" t="s">
        <v>146</v>
      </c>
    </row>
    <row r="2626" spans="1:7" hidden="1" x14ac:dyDescent="0.35">
      <c r="A2626" t="s">
        <v>36</v>
      </c>
      <c r="B2626" t="s">
        <v>94</v>
      </c>
      <c r="C2626" t="s">
        <v>59</v>
      </c>
      <c r="D2626">
        <v>2023</v>
      </c>
      <c r="E2626" t="s">
        <v>146</v>
      </c>
      <c r="F2626">
        <v>0</v>
      </c>
      <c r="G2626" t="s">
        <v>146</v>
      </c>
    </row>
    <row r="2627" spans="1:7" hidden="1" x14ac:dyDescent="0.35">
      <c r="A2627" t="s">
        <v>36</v>
      </c>
      <c r="B2627" t="s">
        <v>94</v>
      </c>
      <c r="C2627" t="s">
        <v>59</v>
      </c>
      <c r="D2627">
        <v>2024</v>
      </c>
      <c r="E2627" t="s">
        <v>146</v>
      </c>
      <c r="F2627">
        <v>0</v>
      </c>
      <c r="G2627" t="s">
        <v>146</v>
      </c>
    </row>
    <row r="2628" spans="1:7" hidden="1" x14ac:dyDescent="0.35">
      <c r="A2628" t="s">
        <v>36</v>
      </c>
      <c r="B2628" t="s">
        <v>94</v>
      </c>
      <c r="C2628" t="s">
        <v>59</v>
      </c>
      <c r="D2628">
        <v>2025</v>
      </c>
      <c r="E2628" t="s">
        <v>146</v>
      </c>
      <c r="F2628">
        <v>0</v>
      </c>
      <c r="G2628" t="s">
        <v>146</v>
      </c>
    </row>
    <row r="2629" spans="1:7" hidden="1" x14ac:dyDescent="0.35">
      <c r="A2629" t="s">
        <v>37</v>
      </c>
      <c r="B2629" t="s">
        <v>95</v>
      </c>
      <c r="C2629" t="s">
        <v>57</v>
      </c>
      <c r="D2629">
        <v>2024</v>
      </c>
      <c r="E2629" t="s">
        <v>146</v>
      </c>
      <c r="F2629">
        <v>835</v>
      </c>
      <c r="G2629" t="s">
        <v>146</v>
      </c>
    </row>
    <row r="2630" spans="1:7" hidden="1" x14ac:dyDescent="0.35">
      <c r="A2630" t="s">
        <v>37</v>
      </c>
      <c r="B2630" t="s">
        <v>95</v>
      </c>
      <c r="C2630" t="s">
        <v>57</v>
      </c>
      <c r="D2630">
        <v>2025</v>
      </c>
      <c r="E2630" t="s">
        <v>146</v>
      </c>
      <c r="F2630">
        <v>1085</v>
      </c>
      <c r="G2630" t="s">
        <v>146</v>
      </c>
    </row>
    <row r="2631" spans="1:7" hidden="1" x14ac:dyDescent="0.35">
      <c r="A2631" t="s">
        <v>37</v>
      </c>
      <c r="B2631" t="s">
        <v>95</v>
      </c>
      <c r="C2631" t="s">
        <v>58</v>
      </c>
      <c r="D2631">
        <v>2024</v>
      </c>
      <c r="E2631" t="s">
        <v>146</v>
      </c>
      <c r="F2631">
        <v>3</v>
      </c>
      <c r="G2631" t="s">
        <v>146</v>
      </c>
    </row>
    <row r="2632" spans="1:7" hidden="1" x14ac:dyDescent="0.35">
      <c r="A2632" t="s">
        <v>37</v>
      </c>
      <c r="B2632" t="s">
        <v>95</v>
      </c>
      <c r="C2632" t="s">
        <v>58</v>
      </c>
      <c r="D2632">
        <v>2025</v>
      </c>
      <c r="E2632" t="s">
        <v>146</v>
      </c>
      <c r="F2632">
        <v>32</v>
      </c>
      <c r="G2632" t="s">
        <v>146</v>
      </c>
    </row>
    <row r="2633" spans="1:7" hidden="1" x14ac:dyDescent="0.35">
      <c r="A2633" t="s">
        <v>37</v>
      </c>
      <c r="B2633" t="s">
        <v>95</v>
      </c>
      <c r="C2633" t="s">
        <v>59</v>
      </c>
      <c r="D2633">
        <v>2024</v>
      </c>
      <c r="E2633" t="s">
        <v>146</v>
      </c>
      <c r="F2633">
        <v>653</v>
      </c>
      <c r="G2633" t="s">
        <v>146</v>
      </c>
    </row>
    <row r="2634" spans="1:7" hidden="1" x14ac:dyDescent="0.35">
      <c r="A2634" t="s">
        <v>37</v>
      </c>
      <c r="B2634" t="s">
        <v>95</v>
      </c>
      <c r="C2634" t="s">
        <v>59</v>
      </c>
      <c r="D2634">
        <v>2025</v>
      </c>
      <c r="E2634" t="s">
        <v>146</v>
      </c>
      <c r="F2634">
        <v>1059</v>
      </c>
      <c r="G2634" t="s">
        <v>146</v>
      </c>
    </row>
    <row r="2635" spans="1:7" hidden="1" x14ac:dyDescent="0.35">
      <c r="A2635" t="s">
        <v>38</v>
      </c>
      <c r="B2635" t="s">
        <v>96</v>
      </c>
      <c r="C2635" t="s">
        <v>57</v>
      </c>
      <c r="D2635">
        <v>2022</v>
      </c>
      <c r="E2635" t="s">
        <v>146</v>
      </c>
      <c r="F2635">
        <v>2272</v>
      </c>
      <c r="G2635" t="s">
        <v>146</v>
      </c>
    </row>
    <row r="2636" spans="1:7" hidden="1" x14ac:dyDescent="0.35">
      <c r="A2636" t="s">
        <v>38</v>
      </c>
      <c r="B2636" t="s">
        <v>96</v>
      </c>
      <c r="C2636" t="s">
        <v>57</v>
      </c>
      <c r="D2636">
        <v>2023</v>
      </c>
      <c r="E2636" t="s">
        <v>146</v>
      </c>
      <c r="F2636">
        <v>2455</v>
      </c>
      <c r="G2636" t="s">
        <v>146</v>
      </c>
    </row>
    <row r="2637" spans="1:7" hidden="1" x14ac:dyDescent="0.35">
      <c r="A2637" t="s">
        <v>38</v>
      </c>
      <c r="B2637" t="s">
        <v>96</v>
      </c>
      <c r="C2637" t="s">
        <v>57</v>
      </c>
      <c r="D2637">
        <v>2024</v>
      </c>
      <c r="E2637" t="s">
        <v>146</v>
      </c>
      <c r="F2637">
        <v>4144</v>
      </c>
      <c r="G2637" t="s">
        <v>146</v>
      </c>
    </row>
    <row r="2638" spans="1:7" hidden="1" x14ac:dyDescent="0.35">
      <c r="A2638" t="s">
        <v>38</v>
      </c>
      <c r="B2638" t="s">
        <v>96</v>
      </c>
      <c r="C2638" t="s">
        <v>57</v>
      </c>
      <c r="D2638">
        <v>2025</v>
      </c>
      <c r="E2638" t="s">
        <v>146</v>
      </c>
      <c r="F2638">
        <v>5649</v>
      </c>
      <c r="G2638" t="s">
        <v>146</v>
      </c>
    </row>
    <row r="2639" spans="1:7" hidden="1" x14ac:dyDescent="0.35">
      <c r="A2639" t="s">
        <v>38</v>
      </c>
      <c r="B2639" t="s">
        <v>96</v>
      </c>
      <c r="C2639" t="s">
        <v>58</v>
      </c>
      <c r="D2639">
        <v>2022</v>
      </c>
      <c r="E2639" t="s">
        <v>146</v>
      </c>
      <c r="F2639">
        <v>55</v>
      </c>
      <c r="G2639" t="s">
        <v>146</v>
      </c>
    </row>
    <row r="2640" spans="1:7" hidden="1" x14ac:dyDescent="0.35">
      <c r="A2640" t="s">
        <v>38</v>
      </c>
      <c r="B2640" t="s">
        <v>96</v>
      </c>
      <c r="C2640" t="s">
        <v>58</v>
      </c>
      <c r="D2640">
        <v>2023</v>
      </c>
      <c r="E2640" t="s">
        <v>146</v>
      </c>
      <c r="F2640">
        <v>100</v>
      </c>
      <c r="G2640" t="s">
        <v>146</v>
      </c>
    </row>
    <row r="2641" spans="1:7" hidden="1" x14ac:dyDescent="0.35">
      <c r="A2641" t="s">
        <v>38</v>
      </c>
      <c r="B2641" t="s">
        <v>96</v>
      </c>
      <c r="C2641" t="s">
        <v>58</v>
      </c>
      <c r="D2641">
        <v>2024</v>
      </c>
      <c r="E2641" t="s">
        <v>146</v>
      </c>
      <c r="F2641">
        <v>74</v>
      </c>
      <c r="G2641" t="s">
        <v>146</v>
      </c>
    </row>
    <row r="2642" spans="1:7" hidden="1" x14ac:dyDescent="0.35">
      <c r="A2642" t="s">
        <v>38</v>
      </c>
      <c r="B2642" t="s">
        <v>96</v>
      </c>
      <c r="C2642" t="s">
        <v>58</v>
      </c>
      <c r="D2642">
        <v>2025</v>
      </c>
      <c r="E2642" t="s">
        <v>146</v>
      </c>
      <c r="F2642">
        <v>332</v>
      </c>
      <c r="G2642" t="s">
        <v>146</v>
      </c>
    </row>
    <row r="2643" spans="1:7" hidden="1" x14ac:dyDescent="0.35">
      <c r="A2643" t="s">
        <v>38</v>
      </c>
      <c r="B2643" t="s">
        <v>96</v>
      </c>
      <c r="C2643" t="s">
        <v>59</v>
      </c>
      <c r="D2643">
        <v>2022</v>
      </c>
      <c r="E2643" t="s">
        <v>146</v>
      </c>
      <c r="F2643">
        <v>2327</v>
      </c>
      <c r="G2643" t="s">
        <v>146</v>
      </c>
    </row>
    <row r="2644" spans="1:7" hidden="1" x14ac:dyDescent="0.35">
      <c r="A2644" t="s">
        <v>38</v>
      </c>
      <c r="B2644" t="s">
        <v>96</v>
      </c>
      <c r="C2644" t="s">
        <v>59</v>
      </c>
      <c r="D2644">
        <v>2023</v>
      </c>
      <c r="E2644" t="s">
        <v>146</v>
      </c>
      <c r="F2644">
        <v>1733</v>
      </c>
      <c r="G2644" t="s">
        <v>146</v>
      </c>
    </row>
    <row r="2645" spans="1:7" hidden="1" x14ac:dyDescent="0.35">
      <c r="A2645" t="s">
        <v>38</v>
      </c>
      <c r="B2645" t="s">
        <v>96</v>
      </c>
      <c r="C2645" t="s">
        <v>59</v>
      </c>
      <c r="D2645">
        <v>2024</v>
      </c>
      <c r="E2645" t="s">
        <v>146</v>
      </c>
      <c r="F2645">
        <v>1710</v>
      </c>
      <c r="G2645" t="s">
        <v>146</v>
      </c>
    </row>
    <row r="2646" spans="1:7" hidden="1" x14ac:dyDescent="0.35">
      <c r="A2646" t="s">
        <v>38</v>
      </c>
      <c r="B2646" t="s">
        <v>96</v>
      </c>
      <c r="C2646" t="s">
        <v>59</v>
      </c>
      <c r="D2646">
        <v>2025</v>
      </c>
      <c r="E2646" t="s">
        <v>146</v>
      </c>
      <c r="F2646">
        <v>1775</v>
      </c>
      <c r="G2646" t="s">
        <v>146</v>
      </c>
    </row>
    <row r="2647" spans="1:7" hidden="1" x14ac:dyDescent="0.35">
      <c r="A2647" t="s">
        <v>39</v>
      </c>
      <c r="B2647" t="s">
        <v>97</v>
      </c>
      <c r="C2647" t="s">
        <v>57</v>
      </c>
      <c r="D2647">
        <v>2022</v>
      </c>
      <c r="E2647" t="s">
        <v>146</v>
      </c>
      <c r="F2647">
        <v>486</v>
      </c>
      <c r="G2647" t="s">
        <v>146</v>
      </c>
    </row>
    <row r="2648" spans="1:7" hidden="1" x14ac:dyDescent="0.35">
      <c r="A2648" t="s">
        <v>39</v>
      </c>
      <c r="B2648" t="s">
        <v>97</v>
      </c>
      <c r="C2648" t="s">
        <v>57</v>
      </c>
      <c r="D2648">
        <v>2023</v>
      </c>
      <c r="E2648" t="s">
        <v>146</v>
      </c>
      <c r="F2648">
        <v>583</v>
      </c>
      <c r="G2648" t="s">
        <v>146</v>
      </c>
    </row>
    <row r="2649" spans="1:7" hidden="1" x14ac:dyDescent="0.35">
      <c r="A2649" t="s">
        <v>39</v>
      </c>
      <c r="B2649" t="s">
        <v>97</v>
      </c>
      <c r="C2649" t="s">
        <v>57</v>
      </c>
      <c r="D2649">
        <v>2024</v>
      </c>
      <c r="E2649" t="s">
        <v>146</v>
      </c>
      <c r="F2649">
        <v>606</v>
      </c>
      <c r="G2649" t="s">
        <v>146</v>
      </c>
    </row>
    <row r="2650" spans="1:7" hidden="1" x14ac:dyDescent="0.35">
      <c r="A2650" t="s">
        <v>39</v>
      </c>
      <c r="B2650" t="s">
        <v>97</v>
      </c>
      <c r="C2650" t="s">
        <v>57</v>
      </c>
      <c r="D2650">
        <v>2025</v>
      </c>
      <c r="E2650" t="s">
        <v>146</v>
      </c>
      <c r="F2650">
        <v>2627</v>
      </c>
      <c r="G2650" t="s">
        <v>146</v>
      </c>
    </row>
    <row r="2651" spans="1:7" hidden="1" x14ac:dyDescent="0.35">
      <c r="A2651" t="s">
        <v>39</v>
      </c>
      <c r="B2651" t="s">
        <v>97</v>
      </c>
      <c r="C2651" t="s">
        <v>58</v>
      </c>
      <c r="D2651">
        <v>2022</v>
      </c>
      <c r="E2651" t="s">
        <v>146</v>
      </c>
      <c r="F2651">
        <v>746</v>
      </c>
      <c r="G2651" t="s">
        <v>146</v>
      </c>
    </row>
    <row r="2652" spans="1:7" hidden="1" x14ac:dyDescent="0.35">
      <c r="A2652" t="s">
        <v>39</v>
      </c>
      <c r="B2652" t="s">
        <v>97</v>
      </c>
      <c r="C2652" t="s">
        <v>58</v>
      </c>
      <c r="D2652">
        <v>2023</v>
      </c>
      <c r="E2652" t="s">
        <v>146</v>
      </c>
      <c r="F2652">
        <v>474</v>
      </c>
      <c r="G2652" t="s">
        <v>146</v>
      </c>
    </row>
    <row r="2653" spans="1:7" hidden="1" x14ac:dyDescent="0.35">
      <c r="A2653" t="s">
        <v>39</v>
      </c>
      <c r="B2653" t="s">
        <v>97</v>
      </c>
      <c r="C2653" t="s">
        <v>58</v>
      </c>
      <c r="D2653">
        <v>2024</v>
      </c>
      <c r="E2653" t="s">
        <v>146</v>
      </c>
      <c r="F2653">
        <v>457</v>
      </c>
      <c r="G2653" t="s">
        <v>146</v>
      </c>
    </row>
    <row r="2654" spans="1:7" hidden="1" x14ac:dyDescent="0.35">
      <c r="A2654" t="s">
        <v>39</v>
      </c>
      <c r="B2654" t="s">
        <v>97</v>
      </c>
      <c r="C2654" t="s">
        <v>58</v>
      </c>
      <c r="D2654">
        <v>2025</v>
      </c>
      <c r="E2654" t="s">
        <v>146</v>
      </c>
      <c r="F2654">
        <v>1272</v>
      </c>
      <c r="G2654" t="s">
        <v>146</v>
      </c>
    </row>
    <row r="2655" spans="1:7" hidden="1" x14ac:dyDescent="0.35">
      <c r="A2655" t="s">
        <v>39</v>
      </c>
      <c r="B2655" t="s">
        <v>97</v>
      </c>
      <c r="C2655" t="s">
        <v>59</v>
      </c>
      <c r="D2655">
        <v>2022</v>
      </c>
      <c r="E2655" t="s">
        <v>146</v>
      </c>
      <c r="F2655">
        <v>0</v>
      </c>
      <c r="G2655" t="s">
        <v>146</v>
      </c>
    </row>
    <row r="2656" spans="1:7" hidden="1" x14ac:dyDescent="0.35">
      <c r="A2656" t="s">
        <v>39</v>
      </c>
      <c r="B2656" t="s">
        <v>97</v>
      </c>
      <c r="C2656" t="s">
        <v>59</v>
      </c>
      <c r="D2656">
        <v>2023</v>
      </c>
      <c r="E2656" t="s">
        <v>146</v>
      </c>
      <c r="F2656">
        <v>1150</v>
      </c>
      <c r="G2656" t="s">
        <v>146</v>
      </c>
    </row>
    <row r="2657" spans="1:7" hidden="1" x14ac:dyDescent="0.35">
      <c r="A2657" t="s">
        <v>39</v>
      </c>
      <c r="B2657" t="s">
        <v>97</v>
      </c>
      <c r="C2657" t="s">
        <v>59</v>
      </c>
      <c r="D2657">
        <v>2024</v>
      </c>
      <c r="E2657" t="s">
        <v>146</v>
      </c>
      <c r="F2657">
        <v>1872</v>
      </c>
      <c r="G2657" t="s">
        <v>146</v>
      </c>
    </row>
    <row r="2658" spans="1:7" hidden="1" x14ac:dyDescent="0.35">
      <c r="A2658" t="s">
        <v>39</v>
      </c>
      <c r="B2658" t="s">
        <v>97</v>
      </c>
      <c r="C2658" t="s">
        <v>59</v>
      </c>
      <c r="D2658">
        <v>2025</v>
      </c>
      <c r="E2658" t="s">
        <v>146</v>
      </c>
      <c r="F2658">
        <v>4246</v>
      </c>
      <c r="G2658" t="s">
        <v>146</v>
      </c>
    </row>
  </sheetData>
  <pageMargins left="0.7" right="0.7" top="0.75" bottom="0.75" header="0.3" footer="0.3"/>
  <headerFooter>
    <oddFooter>&amp;R_x000D_&amp;1#&amp;"Calibri"&amp;10&amp;K008000 Attijariwafa bank DIFFUSABLE</oddFoot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4ECB7-5C54-4D53-B925-531575B564E5}">
  <dimension ref="A2:B19"/>
  <sheetViews>
    <sheetView workbookViewId="0">
      <selection activeCell="B9" sqref="B9"/>
    </sheetView>
  </sheetViews>
  <sheetFormatPr baseColWidth="10" defaultRowHeight="14.5" x14ac:dyDescent="0.35"/>
  <cols>
    <col min="1" max="1" width="21.453125" bestFit="1" customWidth="1"/>
    <col min="2" max="2" width="16.81640625" bestFit="1" customWidth="1"/>
  </cols>
  <sheetData>
    <row r="2" spans="1:2" x14ac:dyDescent="0.35">
      <c r="A2" s="141" t="s">
        <v>142</v>
      </c>
      <c r="B2" t="s">
        <v>145</v>
      </c>
    </row>
    <row r="3" spans="1:2" x14ac:dyDescent="0.35">
      <c r="A3" s="141" t="s">
        <v>129</v>
      </c>
      <c r="B3" t="s">
        <v>57</v>
      </c>
    </row>
    <row r="5" spans="1:2" x14ac:dyDescent="0.35">
      <c r="A5" s="141" t="s">
        <v>147</v>
      </c>
      <c r="B5" t="s">
        <v>148</v>
      </c>
    </row>
    <row r="6" spans="1:2" x14ac:dyDescent="0.35">
      <c r="A6" s="142" t="s">
        <v>36</v>
      </c>
      <c r="B6">
        <v>10307</v>
      </c>
    </row>
    <row r="7" spans="1:2" x14ac:dyDescent="0.35">
      <c r="A7" s="143">
        <v>2022</v>
      </c>
      <c r="B7">
        <v>1034</v>
      </c>
    </row>
    <row r="8" spans="1:2" x14ac:dyDescent="0.35">
      <c r="A8" s="144" t="s">
        <v>62</v>
      </c>
      <c r="B8">
        <v>451</v>
      </c>
    </row>
    <row r="9" spans="1:2" x14ac:dyDescent="0.35">
      <c r="A9" s="144" t="s">
        <v>98</v>
      </c>
      <c r="B9">
        <v>583</v>
      </c>
    </row>
    <row r="10" spans="1:2" x14ac:dyDescent="0.35">
      <c r="A10" s="143">
        <v>2023</v>
      </c>
      <c r="B10">
        <v>1912</v>
      </c>
    </row>
    <row r="11" spans="1:2" x14ac:dyDescent="0.35">
      <c r="A11" s="144" t="s">
        <v>62</v>
      </c>
      <c r="B11">
        <v>823</v>
      </c>
    </row>
    <row r="12" spans="1:2" x14ac:dyDescent="0.35">
      <c r="A12" s="144" t="s">
        <v>98</v>
      </c>
      <c r="B12">
        <v>1089</v>
      </c>
    </row>
    <row r="13" spans="1:2" x14ac:dyDescent="0.35">
      <c r="A13" s="143">
        <v>2024</v>
      </c>
      <c r="B13">
        <v>2952</v>
      </c>
    </row>
    <row r="14" spans="1:2" x14ac:dyDescent="0.35">
      <c r="A14" s="144" t="s">
        <v>62</v>
      </c>
      <c r="B14">
        <v>1248</v>
      </c>
    </row>
    <row r="15" spans="1:2" x14ac:dyDescent="0.35">
      <c r="A15" s="144" t="s">
        <v>98</v>
      </c>
      <c r="B15">
        <v>1704</v>
      </c>
    </row>
    <row r="16" spans="1:2" x14ac:dyDescent="0.35">
      <c r="A16" s="143">
        <v>2025</v>
      </c>
      <c r="B16">
        <v>4409</v>
      </c>
    </row>
    <row r="17" spans="1:2" x14ac:dyDescent="0.35">
      <c r="A17" s="144" t="s">
        <v>62</v>
      </c>
      <c r="B17">
        <v>2090</v>
      </c>
    </row>
    <row r="18" spans="1:2" x14ac:dyDescent="0.35">
      <c r="A18" s="144" t="s">
        <v>98</v>
      </c>
      <c r="B18">
        <v>2319</v>
      </c>
    </row>
    <row r="19" spans="1:2" x14ac:dyDescent="0.35">
      <c r="A19" s="142" t="s">
        <v>149</v>
      </c>
      <c r="B19">
        <v>10307</v>
      </c>
    </row>
  </sheetData>
  <pageMargins left="0.7" right="0.7" top="0.75" bottom="0.75" header="0.3" footer="0.3"/>
  <headerFooter>
    <oddFooter>&amp;R_x000D_&amp;1#&amp;"Calibri"&amp;10&amp;K008000 Attijariwafa bank DIFFUSABLE</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A857A58-760E-4D71-B9F7-C6CF782702D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Trims</vt:lpstr>
      <vt:lpstr>Semestriel</vt:lpstr>
      <vt:lpstr>Annuel</vt:lpstr>
      <vt:lpstr>Base_Finale</vt:lpstr>
      <vt:lpstr>TCD</vt:lpstr>
    </vt:vector>
  </TitlesOfParts>
  <Company>AWB</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ELDOHA BELEGCHOUR</dc:creator>
  <cp:lastModifiedBy>ElDoha Belegchour</cp:lastModifiedBy>
  <dcterms:created xsi:type="dcterms:W3CDTF">2026-02-17T10:25:38Z</dcterms:created>
  <dcterms:modified xsi:type="dcterms:W3CDTF">2026-06-03T10:34:30Z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69a2f72-a06a-4224-969d-9687af318e8d_Enabled">
    <vt:lpwstr>true</vt:lpwstr>
  </property>
  <property fmtid="{D5CDD505-2E9C-101B-9397-08002B2CF9AE}" pid="3" name="MSIP_Label_a69a2f72-a06a-4224-969d-9687af318e8d_SetDate">
    <vt:lpwstr>2026-06-02T15:22:43Z</vt:lpwstr>
  </property>
  <property fmtid="{D5CDD505-2E9C-101B-9397-08002B2CF9AE}" pid="4" name="MSIP_Label_a69a2f72-a06a-4224-969d-9687af318e8d_Method">
    <vt:lpwstr>Privileged</vt:lpwstr>
  </property>
  <property fmtid="{D5CDD505-2E9C-101B-9397-08002B2CF9AE}" pid="5" name="MSIP_Label_a69a2f72-a06a-4224-969d-9687af318e8d_Name">
    <vt:lpwstr>Diffusable</vt:lpwstr>
  </property>
  <property fmtid="{D5CDD505-2E9C-101B-9397-08002B2CF9AE}" pid="6" name="MSIP_Label_a69a2f72-a06a-4224-969d-9687af318e8d_SiteId">
    <vt:lpwstr>3c533405-1c39-4098-97e6-320eb6d06f79</vt:lpwstr>
  </property>
  <property fmtid="{D5CDD505-2E9C-101B-9397-08002B2CF9AE}" pid="7" name="MSIP_Label_a69a2f72-a06a-4224-969d-9687af318e8d_ActionId">
    <vt:lpwstr>2f3e7c0c-2435-4244-9f1c-5b020ed10529</vt:lpwstr>
  </property>
  <property fmtid="{D5CDD505-2E9C-101B-9397-08002B2CF9AE}" pid="8" name="MSIP_Label_a69a2f72-a06a-4224-969d-9687af318e8d_ContentBits">
    <vt:lpwstr>2</vt:lpwstr>
  </property>
</Properties>
</file>